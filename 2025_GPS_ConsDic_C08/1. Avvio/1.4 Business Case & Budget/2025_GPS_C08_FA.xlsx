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i Sheet1" sheetId="1" r:id="rId4"/>
  </sheets>
  <definedNames/>
  <calcPr/>
  <extLst>
    <ext uri="GoogleSheetsCustomDataVersion2">
      <go:sheetsCustomData xmlns:go="http://customooxmlschemas.google.com/" r:id="rId5" roundtripDataChecksum="gIIPysXGN1BQ7yf4hleHHciBaomOytghcmQ5w9AKiEc="/>
    </ext>
  </extLst>
</workbook>
</file>

<file path=xl/sharedStrings.xml><?xml version="1.0" encoding="utf-8"?>
<sst xmlns="http://schemas.openxmlformats.org/spreadsheetml/2006/main" count="103" uniqueCount="71">
  <si>
    <t>Financial Analysis for SAfeguard</t>
  </si>
  <si>
    <t>Created by: Giuseppe Napolitano, Pasquale Sorrentino</t>
  </si>
  <si>
    <t>Date: 25/10/2025</t>
  </si>
  <si>
    <t>Discount rate</t>
  </si>
  <si>
    <t>Assume the project is completed in Year 0</t>
  </si>
  <si>
    <t>Year</t>
  </si>
  <si>
    <t>Total</t>
  </si>
  <si>
    <t>Costs</t>
  </si>
  <si>
    <t>Discount factor</t>
  </si>
  <si>
    <t>Discounted costs</t>
  </si>
  <si>
    <t>Benefits</t>
  </si>
  <si>
    <t>Discounted benefits</t>
  </si>
  <si>
    <t>Discounted benefits - costs</t>
  </si>
  <si>
    <t>NPV</t>
  </si>
  <si>
    <t>Cumulative benefits - costs</t>
  </si>
  <si>
    <t>ROI</t>
  </si>
  <si>
    <t>Payback in Year 3</t>
  </si>
  <si>
    <t>Assumptions</t>
  </si>
  <si>
    <t xml:space="preserve">Project Costs (applied in year 0) </t>
  </si>
  <si>
    <t>Costi</t>
  </si>
  <si>
    <t>Resources</t>
  </si>
  <si>
    <t>Cost/Hour</t>
  </si>
  <si>
    <t>Hours</t>
  </si>
  <si>
    <t>Str. Cost/Hour</t>
  </si>
  <si>
    <t>Str. Hours</t>
  </si>
  <si>
    <t xml:space="preserve">Total </t>
  </si>
  <si>
    <t>Primo Rilascio</t>
  </si>
  <si>
    <t>Project Manager (Senior)</t>
  </si>
  <si>
    <t>Responsabile dello Sviluppo (Senior)</t>
  </si>
  <si>
    <t>FullStack Developer (Junior)</t>
  </si>
  <si>
    <t>Back-end Developer (Junior)</t>
  </si>
  <si>
    <t>UI/UX Junior (Junior)</t>
  </si>
  <si>
    <t>Costo preliminare MVP</t>
  </si>
  <si>
    <t>Costo MVP + 25% tasse, formazione dipendenti, strutture e dispositivi</t>
  </si>
  <si>
    <t>Secondo Rilascio</t>
  </si>
  <si>
    <t>Progect Manager (Senior)</t>
  </si>
  <si>
    <t>Data Scientist AI (Senior)</t>
  </si>
  <si>
    <t>Analista Software (Junior)</t>
  </si>
  <si>
    <t>Mobile Developer (Junior)</t>
  </si>
  <si>
    <t>Sistemista/DBA (Junior)</t>
  </si>
  <si>
    <t>Costo preliminare Secondo Rilascio</t>
  </si>
  <si>
    <t>Costo Secondo rilascio + 25% tasse, formazione dipendenti, strutture e dispositivi</t>
  </si>
  <si>
    <t>Consulente legale/DPO (Esterno)</t>
  </si>
  <si>
    <t>-</t>
  </si>
  <si>
    <t>Licenze</t>
  </si>
  <si>
    <t>Cloud, servizi SMS e manutenzione server</t>
  </si>
  <si>
    <t>Costi Dispositivi IOT</t>
  </si>
  <si>
    <t>Campagna marketing erogativa</t>
  </si>
  <si>
    <t>Costo Totale Secondo Rilascio</t>
  </si>
  <si>
    <t>Total Project Costs</t>
  </si>
  <si>
    <t>Total Project Costs +15% costo dei rischi</t>
  </si>
  <si>
    <t>Total Project Costs (applied in year 0)</t>
  </si>
  <si>
    <t xml:space="preserve">Project Costs (Applied in year 1) </t>
  </si>
  <si>
    <t xml:space="preserve">Resources </t>
  </si>
  <si>
    <t>Cost</t>
  </si>
  <si>
    <t>Manutenzione + 25% tasse, formazione dipendenti, strutture e dispositivi</t>
  </si>
  <si>
    <t>Costi di Marketing</t>
  </si>
  <si>
    <t>Total Project Costs (Applied in year 1)</t>
  </si>
  <si>
    <t>Project Costs (Applied in year 2)</t>
  </si>
  <si>
    <t xml:space="preserve">Costi di Marketing </t>
  </si>
  <si>
    <t>Total Project Costs (Applied in year 2)</t>
  </si>
  <si>
    <t>Project Costs (Applied in year 3)</t>
  </si>
  <si>
    <t>Total Project Costs (Applied in year 3)</t>
  </si>
  <si>
    <t>year 1</t>
  </si>
  <si>
    <t>year 2</t>
  </si>
  <si>
    <t>year 3</t>
  </si>
  <si>
    <t>Totale Voce</t>
  </si>
  <si>
    <t>Riduzione del tempo medio di intervento</t>
  </si>
  <si>
    <t>Riduzione dei danni indiretti</t>
  </si>
  <si>
    <t>Risparmio da esercitazioni e formazione</t>
  </si>
  <si>
    <t>Totale annuo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</si>
</sst>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[$€-2]\ #,##0.00"/>
    <numFmt numFmtId="166" formatCode="&quot;€&quot;#,##0.00"/>
  </numFmts>
  <fonts count="9">
    <font>
      <sz val="10.0"/>
      <color rgb="FF000000"/>
      <name val="Arial"/>
      <scheme val="minor"/>
    </font>
    <font>
      <b/>
      <sz val="18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2.0"/>
      <color theme="1"/>
      <name val="New York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B05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10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6" numFmtId="9" xfId="0" applyAlignment="1" applyFont="1" applyNumberForma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3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7" numFmtId="37" xfId="0" applyAlignment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1" fillId="2" fontId="6" numFmtId="0" xfId="0" applyBorder="1" applyFill="1" applyFont="1"/>
    <xf borderId="1" fillId="2" fontId="5" numFmtId="0" xfId="0" applyBorder="1" applyFont="1"/>
    <xf borderId="1" fillId="2" fontId="5" numFmtId="0" xfId="0" applyAlignment="1" applyBorder="1" applyFont="1">
      <alignment horizontal="center"/>
    </xf>
    <xf borderId="1" fillId="2" fontId="5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  <xf borderId="1" fillId="2" fontId="5" numFmtId="165" xfId="0" applyBorder="1" applyFont="1" applyNumberFormat="1"/>
    <xf borderId="1" fillId="2" fontId="5" numFmtId="3" xfId="0" applyAlignment="1" applyBorder="1" applyFont="1" applyNumberFormat="1">
      <alignment horizontal="center"/>
    </xf>
    <xf borderId="1" fillId="2" fontId="5" numFmtId="0" xfId="0" applyAlignment="1" applyBorder="1" applyFont="1">
      <alignment readingOrder="0"/>
    </xf>
    <xf borderId="1" fillId="2" fontId="5" numFmtId="165" xfId="0" applyAlignment="1" applyBorder="1" applyFont="1" applyNumberFormat="1">
      <alignment horizontal="center" readingOrder="0"/>
    </xf>
    <xf borderId="0" fillId="3" fontId="5" numFmtId="165" xfId="0" applyFill="1" applyFont="1" applyNumberFormat="1"/>
    <xf borderId="1" fillId="3" fontId="5" numFmtId="165" xfId="0" applyBorder="1" applyFont="1" applyNumberFormat="1"/>
    <xf borderId="1" fillId="2" fontId="6" numFmtId="0" xfId="0" applyAlignment="1" applyBorder="1" applyFont="1">
      <alignment horizontal="center"/>
    </xf>
    <xf borderId="1" fillId="2" fontId="5" numFmtId="166" xfId="0" applyAlignment="1" applyBorder="1" applyFont="1" applyNumberFormat="1">
      <alignment horizontal="center" readingOrder="0"/>
    </xf>
    <xf borderId="1" fillId="2" fontId="5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9.88"/>
    <col customWidth="1" min="3" max="3" width="10.13"/>
    <col customWidth="1" min="4" max="4" width="11.63"/>
    <col customWidth="1" min="5" max="5" width="10.25"/>
    <col customWidth="1" min="6" max="6" width="11.38"/>
    <col customWidth="1" min="7" max="7" width="13.0"/>
    <col customWidth="1" min="8" max="26" width="7.63"/>
  </cols>
  <sheetData>
    <row r="1" ht="29.25" customHeight="1">
      <c r="A1" s="1" t="s">
        <v>0</v>
      </c>
    </row>
    <row r="2" ht="12.75" customHeight="1">
      <c r="A2" s="2" t="s">
        <v>1</v>
      </c>
      <c r="B2" s="3"/>
      <c r="C2" s="2" t="s">
        <v>2</v>
      </c>
      <c r="D2" s="1"/>
      <c r="E2" s="1"/>
      <c r="F2" s="1"/>
      <c r="G2" s="1"/>
    </row>
    <row r="3" ht="30.0" customHeight="1">
      <c r="A3" s="4"/>
    </row>
    <row r="4" ht="12.75" customHeight="1">
      <c r="A4" s="5"/>
      <c r="B4" s="5"/>
      <c r="C4" s="5"/>
      <c r="D4" s="5"/>
      <c r="E4" s="5"/>
      <c r="F4" s="5"/>
      <c r="G4" s="5"/>
    </row>
    <row r="5" ht="12.75" customHeight="1">
      <c r="A5" s="6" t="s">
        <v>3</v>
      </c>
      <c r="B5" s="7">
        <v>0.05</v>
      </c>
      <c r="C5" s="8"/>
      <c r="D5" s="8"/>
      <c r="E5" s="8"/>
      <c r="F5" s="8"/>
      <c r="G5" s="8"/>
    </row>
    <row r="6" ht="12.75" customHeight="1">
      <c r="A6" s="6"/>
      <c r="B6" s="9"/>
      <c r="C6" s="8"/>
      <c r="D6" s="8"/>
      <c r="E6" s="8"/>
      <c r="F6" s="8"/>
      <c r="G6" s="8"/>
    </row>
    <row r="7" ht="12.75" customHeight="1">
      <c r="A7" s="10" t="s">
        <v>4</v>
      </c>
      <c r="B7" s="8"/>
      <c r="C7" s="8"/>
      <c r="D7" s="11" t="s">
        <v>5</v>
      </c>
      <c r="E7" s="8"/>
      <c r="F7" s="11"/>
      <c r="G7" s="8"/>
    </row>
    <row r="8" ht="12.75" customHeight="1">
      <c r="B8" s="12">
        <v>0.0</v>
      </c>
      <c r="C8" s="12">
        <v>1.0</v>
      </c>
      <c r="D8" s="12">
        <v>2.0</v>
      </c>
      <c r="E8" s="12">
        <v>3.0</v>
      </c>
      <c r="F8" s="11" t="s">
        <v>6</v>
      </c>
      <c r="G8" s="8"/>
    </row>
    <row r="9" ht="12.75" customHeight="1">
      <c r="A9" s="10" t="s">
        <v>7</v>
      </c>
      <c r="B9" s="13">
        <f>G59</f>
        <v>156524.01</v>
      </c>
      <c r="C9" s="13">
        <f>G66</f>
        <v>27000</v>
      </c>
      <c r="D9" s="13">
        <f>G73</f>
        <v>31875</v>
      </c>
      <c r="E9" s="13">
        <f>G80</f>
        <v>41500</v>
      </c>
      <c r="F9" s="8"/>
      <c r="G9" s="8"/>
    </row>
    <row r="10" ht="12.75" customHeight="1">
      <c r="A10" s="10" t="s">
        <v>8</v>
      </c>
      <c r="B10" s="14">
        <f t="shared" ref="B10:E10" si="1">ROUND(1/(1+$B$5)^B$8,2)</f>
        <v>1</v>
      </c>
      <c r="C10" s="14">
        <f t="shared" si="1"/>
        <v>0.95</v>
      </c>
      <c r="D10" s="14">
        <f t="shared" si="1"/>
        <v>0.91</v>
      </c>
      <c r="E10" s="14">
        <f t="shared" si="1"/>
        <v>0.86</v>
      </c>
      <c r="F10" s="8"/>
      <c r="G10" s="8"/>
    </row>
    <row r="11" ht="12.75" customHeight="1">
      <c r="A11" s="6" t="s">
        <v>9</v>
      </c>
      <c r="B11" s="15">
        <f t="shared" ref="B11:E11" si="2">B9*B10</f>
        <v>156524.01</v>
      </c>
      <c r="C11" s="15">
        <f t="shared" si="2"/>
        <v>25650</v>
      </c>
      <c r="D11" s="15">
        <f t="shared" si="2"/>
        <v>29006.25</v>
      </c>
      <c r="E11" s="15">
        <f t="shared" si="2"/>
        <v>35690</v>
      </c>
      <c r="F11" s="15">
        <f>SUM(B11:E11)</f>
        <v>246870.26</v>
      </c>
      <c r="G11" s="8"/>
    </row>
    <row r="12" ht="12.75" customHeight="1">
      <c r="B12" s="8"/>
      <c r="C12" s="8"/>
      <c r="D12" s="8"/>
      <c r="E12" s="8"/>
      <c r="F12" s="8"/>
      <c r="G12" s="8"/>
    </row>
    <row r="13" ht="12.75" customHeight="1">
      <c r="A13" s="10" t="s">
        <v>10</v>
      </c>
      <c r="B13" s="16">
        <v>0.0</v>
      </c>
      <c r="C13" s="16">
        <f t="shared" ref="C13:E13" si="3">B87</f>
        <v>77500</v>
      </c>
      <c r="D13" s="16">
        <f t="shared" si="3"/>
        <v>110000</v>
      </c>
      <c r="E13" s="16">
        <f t="shared" si="3"/>
        <v>140000</v>
      </c>
      <c r="F13" s="8"/>
      <c r="G13" s="8"/>
    </row>
    <row r="14" ht="12.75" customHeight="1">
      <c r="A14" s="10" t="s">
        <v>8</v>
      </c>
      <c r="B14" s="14">
        <f t="shared" ref="B14:E14" si="4">ROUND(1/(1+$B$5)^B$8,2)</f>
        <v>1</v>
      </c>
      <c r="C14" s="14">
        <f t="shared" si="4"/>
        <v>0.95</v>
      </c>
      <c r="D14" s="14">
        <f t="shared" si="4"/>
        <v>0.91</v>
      </c>
      <c r="E14" s="14">
        <f t="shared" si="4"/>
        <v>0.86</v>
      </c>
      <c r="F14" s="8"/>
      <c r="G14" s="8"/>
    </row>
    <row r="15" ht="12.75" customHeight="1">
      <c r="A15" s="6" t="s">
        <v>11</v>
      </c>
      <c r="B15" s="11">
        <f t="shared" ref="B15:E15" si="5">B13*B14</f>
        <v>0</v>
      </c>
      <c r="C15" s="15">
        <f t="shared" si="5"/>
        <v>73625</v>
      </c>
      <c r="D15" s="15">
        <f t="shared" si="5"/>
        <v>100100</v>
      </c>
      <c r="E15" s="15">
        <f t="shared" si="5"/>
        <v>120400</v>
      </c>
      <c r="F15" s="15">
        <f>SUM(B15:E15)</f>
        <v>294125</v>
      </c>
      <c r="G15" s="8"/>
    </row>
    <row r="16" ht="12.75" customHeight="1">
      <c r="B16" s="8"/>
      <c r="C16" s="8"/>
      <c r="D16" s="8"/>
      <c r="E16" s="8"/>
      <c r="F16" s="8"/>
      <c r="G16" s="8"/>
    </row>
    <row r="17" ht="12.75" customHeight="1">
      <c r="A17" s="10" t="s">
        <v>12</v>
      </c>
      <c r="B17" s="17">
        <f t="shared" ref="B17:F17" si="6">B15-B11</f>
        <v>-156524.01</v>
      </c>
      <c r="C17" s="17">
        <f t="shared" si="6"/>
        <v>47975</v>
      </c>
      <c r="D17" s="17">
        <f t="shared" si="6"/>
        <v>71093.75</v>
      </c>
      <c r="E17" s="17">
        <f t="shared" si="6"/>
        <v>84710</v>
      </c>
      <c r="F17" s="15">
        <f t="shared" si="6"/>
        <v>47254.74</v>
      </c>
      <c r="G17" s="11" t="s">
        <v>13</v>
      </c>
    </row>
    <row r="18" ht="12.75" customHeight="1">
      <c r="A18" s="10" t="s">
        <v>14</v>
      </c>
      <c r="B18" s="17">
        <f>B17</f>
        <v>-156524.01</v>
      </c>
      <c r="C18" s="17">
        <f t="shared" ref="C18:E18" si="7">B18+C17</f>
        <v>-108549.01</v>
      </c>
      <c r="D18" s="17">
        <f t="shared" si="7"/>
        <v>-37455.26</v>
      </c>
      <c r="E18" s="17">
        <f t="shared" si="7"/>
        <v>47254.74</v>
      </c>
      <c r="F18" s="8"/>
      <c r="G18" s="8"/>
    </row>
    <row r="19" ht="12.75" customHeight="1">
      <c r="B19" s="8"/>
      <c r="C19" s="8"/>
      <c r="D19" s="8"/>
      <c r="E19" s="8"/>
      <c r="F19" s="8"/>
      <c r="G19" s="8"/>
    </row>
    <row r="20" ht="12.75" customHeight="1">
      <c r="A20" s="6" t="s">
        <v>15</v>
      </c>
      <c r="B20" s="9">
        <f>(F15-F11)/F11</f>
        <v>0.1914152802</v>
      </c>
      <c r="C20" s="8"/>
      <c r="D20" s="8"/>
      <c r="E20" s="8"/>
      <c r="F20" s="8"/>
      <c r="G20" s="8"/>
    </row>
    <row r="21" ht="12.75" customHeight="1">
      <c r="D21" s="18" t="s">
        <v>16</v>
      </c>
    </row>
    <row r="22" ht="12.75" customHeight="1">
      <c r="A22" s="6" t="s">
        <v>17</v>
      </c>
    </row>
    <row r="23" ht="12.75" customHeight="1">
      <c r="A23" s="19" t="s">
        <v>18</v>
      </c>
      <c r="B23" s="20"/>
      <c r="C23" s="20"/>
      <c r="D23" s="20"/>
      <c r="E23" s="20"/>
      <c r="F23" s="20"/>
      <c r="G23" s="20"/>
    </row>
    <row r="24" ht="12.75" customHeight="1">
      <c r="A24" s="19" t="s">
        <v>19</v>
      </c>
      <c r="B24" s="21" t="s">
        <v>20</v>
      </c>
      <c r="C24" s="21" t="s">
        <v>21</v>
      </c>
      <c r="D24" s="21" t="s">
        <v>22</v>
      </c>
      <c r="E24" s="21" t="s">
        <v>23</v>
      </c>
      <c r="F24" s="21" t="s">
        <v>24</v>
      </c>
      <c r="G24" s="21" t="s">
        <v>25</v>
      </c>
    </row>
    <row r="25" ht="12.75" customHeight="1">
      <c r="A25" s="19" t="s">
        <v>26</v>
      </c>
      <c r="B25" s="20"/>
      <c r="C25" s="20"/>
      <c r="D25" s="20"/>
      <c r="E25" s="20"/>
      <c r="F25" s="20"/>
      <c r="G25" s="20"/>
    </row>
    <row r="26" ht="12.75" customHeight="1">
      <c r="A26" s="20" t="s">
        <v>27</v>
      </c>
      <c r="B26" s="21">
        <v>1.0</v>
      </c>
      <c r="C26" s="22">
        <v>20.0</v>
      </c>
      <c r="D26" s="21">
        <v>360.0</v>
      </c>
      <c r="E26" s="22">
        <v>25.0</v>
      </c>
      <c r="F26" s="21">
        <v>28.0</v>
      </c>
      <c r="G26" s="23">
        <f t="shared" ref="G26:G30" si="8">SUM(PRODUCT(C26,D26),PRODUCT(E26,F26))</f>
        <v>7900</v>
      </c>
    </row>
    <row r="27" ht="12.75" customHeight="1">
      <c r="A27" s="20" t="s">
        <v>28</v>
      </c>
      <c r="B27" s="21">
        <v>1.0</v>
      </c>
      <c r="C27" s="22">
        <v>21.5</v>
      </c>
      <c r="D27" s="21">
        <v>360.0</v>
      </c>
      <c r="E27" s="22">
        <v>26.87</v>
      </c>
      <c r="F27" s="21">
        <v>61.0</v>
      </c>
      <c r="G27" s="23">
        <f t="shared" si="8"/>
        <v>9379.07</v>
      </c>
    </row>
    <row r="28" ht="12.75" customHeight="1">
      <c r="A28" s="20" t="s">
        <v>29</v>
      </c>
      <c r="B28" s="21">
        <v>1.0</v>
      </c>
      <c r="C28" s="22">
        <v>15.0</v>
      </c>
      <c r="D28" s="21">
        <v>360.0</v>
      </c>
      <c r="E28" s="22">
        <v>18.75</v>
      </c>
      <c r="F28" s="21">
        <v>72.0</v>
      </c>
      <c r="G28" s="23">
        <f t="shared" si="8"/>
        <v>6750</v>
      </c>
    </row>
    <row r="29" ht="12.75" customHeight="1">
      <c r="A29" s="20" t="s">
        <v>30</v>
      </c>
      <c r="B29" s="21">
        <v>1.0</v>
      </c>
      <c r="C29" s="22">
        <v>16.13</v>
      </c>
      <c r="D29" s="21">
        <v>360.0</v>
      </c>
      <c r="E29" s="22">
        <v>20.16</v>
      </c>
      <c r="F29" s="21">
        <v>72.0</v>
      </c>
      <c r="G29" s="23">
        <f t="shared" si="8"/>
        <v>7258.32</v>
      </c>
    </row>
    <row r="30" ht="12.75" customHeight="1">
      <c r="A30" s="20" t="s">
        <v>31</v>
      </c>
      <c r="B30" s="21">
        <v>1.0</v>
      </c>
      <c r="C30" s="22">
        <v>16.13</v>
      </c>
      <c r="D30" s="21">
        <v>360.0</v>
      </c>
      <c r="E30" s="22">
        <v>20.16</v>
      </c>
      <c r="F30" s="21">
        <v>67.0</v>
      </c>
      <c r="G30" s="23">
        <f t="shared" si="8"/>
        <v>7157.52</v>
      </c>
    </row>
    <row r="31" ht="12.75" customHeight="1">
      <c r="A31" s="20"/>
      <c r="B31" s="21"/>
      <c r="C31" s="21"/>
      <c r="D31" s="21"/>
      <c r="E31" s="21"/>
      <c r="F31" s="21"/>
      <c r="G31" s="23"/>
    </row>
    <row r="32" ht="12.75" customHeight="1">
      <c r="A32" s="19" t="s">
        <v>32</v>
      </c>
      <c r="B32" s="21">
        <f>SUM(B26:B30)</f>
        <v>5</v>
      </c>
      <c r="C32" s="21"/>
      <c r="D32" s="21">
        <f>SUM(D26:D30)</f>
        <v>1800</v>
      </c>
      <c r="E32" s="21"/>
      <c r="F32" s="21">
        <f t="shared" ref="F32:G32" si="9">SUM(F26:F30)</f>
        <v>300</v>
      </c>
      <c r="G32" s="23">
        <f t="shared" si="9"/>
        <v>38444.91</v>
      </c>
    </row>
    <row r="33" ht="12.75" customHeight="1">
      <c r="A33" s="19" t="s">
        <v>33</v>
      </c>
      <c r="B33" s="20"/>
      <c r="C33" s="20"/>
      <c r="D33" s="20"/>
      <c r="E33" s="20"/>
      <c r="F33" s="20"/>
      <c r="G33" s="23">
        <f>SUM(QUOTIENT(PRODUCT(25,G32),100),G32)</f>
        <v>48055.91</v>
      </c>
    </row>
    <row r="34" ht="12.75" customHeight="1">
      <c r="A34" s="19"/>
      <c r="B34" s="20"/>
      <c r="C34" s="20"/>
      <c r="D34" s="20"/>
      <c r="E34" s="20"/>
      <c r="F34" s="20"/>
      <c r="G34" s="24"/>
    </row>
    <row r="35" ht="12.75" customHeight="1">
      <c r="A35" s="19" t="s">
        <v>34</v>
      </c>
      <c r="B35" s="20"/>
      <c r="C35" s="20"/>
      <c r="D35" s="20"/>
      <c r="E35" s="20"/>
      <c r="F35" s="20"/>
      <c r="G35" s="24"/>
    </row>
    <row r="36" ht="12.75" customHeight="1">
      <c r="A36" s="20" t="s">
        <v>35</v>
      </c>
      <c r="B36" s="21">
        <v>1.0</v>
      </c>
      <c r="C36" s="22">
        <v>20.0</v>
      </c>
      <c r="D36" s="21">
        <v>300.0</v>
      </c>
      <c r="E36" s="22">
        <v>25.0</v>
      </c>
      <c r="F36" s="21">
        <v>0.0</v>
      </c>
      <c r="G36" s="23">
        <f t="shared" ref="G36:G43" si="10">SUM(PRODUCT(C36,D36),PRODUCT(E36,F36))</f>
        <v>6000</v>
      </c>
    </row>
    <row r="37" ht="12.75" customHeight="1">
      <c r="A37" s="20" t="s">
        <v>28</v>
      </c>
      <c r="B37" s="21">
        <v>1.0</v>
      </c>
      <c r="C37" s="22">
        <v>21.5</v>
      </c>
      <c r="D37" s="21">
        <v>300.0</v>
      </c>
      <c r="E37" s="22">
        <v>26.88</v>
      </c>
      <c r="F37" s="21">
        <v>0.0</v>
      </c>
      <c r="G37" s="23">
        <f t="shared" si="10"/>
        <v>6450</v>
      </c>
    </row>
    <row r="38" ht="12.75" customHeight="1">
      <c r="A38" s="20" t="s">
        <v>36</v>
      </c>
      <c r="B38" s="21">
        <v>1.0</v>
      </c>
      <c r="C38" s="22">
        <v>18.0</v>
      </c>
      <c r="D38" s="21">
        <v>350.0</v>
      </c>
      <c r="E38" s="22">
        <v>22.5</v>
      </c>
      <c r="F38" s="21">
        <v>0.0</v>
      </c>
      <c r="G38" s="23">
        <f t="shared" si="10"/>
        <v>6300</v>
      </c>
    </row>
    <row r="39" ht="12.75" customHeight="1">
      <c r="A39" s="20" t="s">
        <v>37</v>
      </c>
      <c r="B39" s="21">
        <v>1.0</v>
      </c>
      <c r="C39" s="22">
        <v>17.0</v>
      </c>
      <c r="D39" s="21">
        <v>360.0</v>
      </c>
      <c r="E39" s="22">
        <v>21.25</v>
      </c>
      <c r="F39" s="21">
        <v>0.0</v>
      </c>
      <c r="G39" s="23">
        <f t="shared" si="10"/>
        <v>6120</v>
      </c>
    </row>
    <row r="40" ht="12.75" customHeight="1">
      <c r="A40" s="20" t="s">
        <v>30</v>
      </c>
      <c r="B40" s="21">
        <v>1.0</v>
      </c>
      <c r="C40" s="22">
        <v>16.13</v>
      </c>
      <c r="D40" s="21">
        <v>450.0</v>
      </c>
      <c r="E40" s="22">
        <v>20.16</v>
      </c>
      <c r="F40" s="21">
        <v>0.0</v>
      </c>
      <c r="G40" s="23">
        <f t="shared" si="10"/>
        <v>7258.5</v>
      </c>
    </row>
    <row r="41" ht="12.75" customHeight="1">
      <c r="A41" s="20" t="s">
        <v>38</v>
      </c>
      <c r="B41" s="21">
        <v>1.0</v>
      </c>
      <c r="C41" s="22">
        <v>16.13</v>
      </c>
      <c r="D41" s="21">
        <v>360.0</v>
      </c>
      <c r="E41" s="22">
        <v>20.16</v>
      </c>
      <c r="F41" s="21">
        <v>0.0</v>
      </c>
      <c r="G41" s="23">
        <f t="shared" si="10"/>
        <v>5806.8</v>
      </c>
    </row>
    <row r="42" ht="12.75" customHeight="1">
      <c r="A42" s="20" t="s">
        <v>31</v>
      </c>
      <c r="B42" s="21">
        <v>1.0</v>
      </c>
      <c r="C42" s="22">
        <v>16.13</v>
      </c>
      <c r="D42" s="21">
        <v>360.0</v>
      </c>
      <c r="E42" s="22">
        <v>20.16</v>
      </c>
      <c r="F42" s="21">
        <v>0.0</v>
      </c>
      <c r="G42" s="23">
        <f t="shared" si="10"/>
        <v>5806.8</v>
      </c>
    </row>
    <row r="43" ht="12.75" customHeight="1">
      <c r="A43" s="20" t="s">
        <v>39</v>
      </c>
      <c r="B43" s="21">
        <v>1.0</v>
      </c>
      <c r="C43" s="22">
        <v>15.0</v>
      </c>
      <c r="D43" s="21">
        <v>500.0</v>
      </c>
      <c r="E43" s="22">
        <v>18.75</v>
      </c>
      <c r="F43" s="21">
        <v>0.0</v>
      </c>
      <c r="G43" s="23">
        <f t="shared" si="10"/>
        <v>7500</v>
      </c>
    </row>
    <row r="44" ht="12.75" customHeight="1">
      <c r="A44" s="20"/>
      <c r="B44" s="20"/>
      <c r="C44" s="20"/>
      <c r="D44" s="20"/>
      <c r="E44" s="20"/>
      <c r="F44" s="24"/>
      <c r="G44" s="24"/>
    </row>
    <row r="45" ht="12.75" customHeight="1">
      <c r="A45" s="19" t="s">
        <v>40</v>
      </c>
      <c r="B45" s="20"/>
      <c r="C45" s="20"/>
      <c r="D45" s="21">
        <f>SUM(D36:D43)</f>
        <v>2980</v>
      </c>
      <c r="E45" s="21"/>
      <c r="F45" s="25">
        <v>0.0</v>
      </c>
      <c r="G45" s="23">
        <f>SUM(G36:G43)</f>
        <v>51242.1</v>
      </c>
    </row>
    <row r="46" ht="12.75" customHeight="1">
      <c r="A46" s="19" t="s">
        <v>41</v>
      </c>
      <c r="B46" s="20"/>
      <c r="C46" s="20"/>
      <c r="D46" s="20"/>
      <c r="E46" s="20"/>
      <c r="F46" s="20"/>
      <c r="G46" s="23">
        <f>SUM(QUOTIENT(PRODUCT(25,G45),100),G45)</f>
        <v>64052.1</v>
      </c>
    </row>
    <row r="47" ht="12.75" customHeight="1">
      <c r="A47" s="20"/>
      <c r="B47" s="20"/>
      <c r="C47" s="20"/>
      <c r="D47" s="20"/>
      <c r="E47" s="20"/>
      <c r="F47" s="24"/>
      <c r="G47" s="24"/>
    </row>
    <row r="48" ht="12.75" customHeight="1">
      <c r="A48" s="20" t="s">
        <v>42</v>
      </c>
      <c r="B48" s="21">
        <v>1.0</v>
      </c>
      <c r="C48" s="22">
        <v>25.0</v>
      </c>
      <c r="D48" s="21">
        <v>60.0</v>
      </c>
      <c r="E48" s="21" t="s">
        <v>43</v>
      </c>
      <c r="F48" s="23" t="s">
        <v>43</v>
      </c>
      <c r="G48" s="23">
        <f>SUM(PRODUCT(C48,D48),PRODUCT(E48,F48))</f>
        <v>1500</v>
      </c>
    </row>
    <row r="49" ht="12.75" customHeight="1">
      <c r="A49" s="26" t="s">
        <v>44</v>
      </c>
      <c r="B49" s="21"/>
      <c r="C49" s="21"/>
      <c r="D49" s="21"/>
      <c r="E49" s="21"/>
      <c r="F49" s="23"/>
      <c r="G49" s="27">
        <v>2000.0</v>
      </c>
      <c r="H49" s="28"/>
    </row>
    <row r="50" ht="12.75" customHeight="1">
      <c r="A50" s="26" t="s">
        <v>45</v>
      </c>
      <c r="B50" s="21">
        <v>1.0</v>
      </c>
      <c r="C50" s="21" t="s">
        <v>43</v>
      </c>
      <c r="D50" s="21" t="s">
        <v>43</v>
      </c>
      <c r="E50" s="21" t="s">
        <v>43</v>
      </c>
      <c r="F50" s="23" t="s">
        <v>43</v>
      </c>
      <c r="G50" s="27">
        <v>3500.0</v>
      </c>
      <c r="H50" s="29"/>
    </row>
    <row r="51" ht="12.75" customHeight="1">
      <c r="A51" s="20" t="s">
        <v>46</v>
      </c>
      <c r="B51" s="21">
        <v>1.0</v>
      </c>
      <c r="C51" s="21" t="s">
        <v>43</v>
      </c>
      <c r="D51" s="21" t="s">
        <v>43</v>
      </c>
      <c r="E51" s="21" t="s">
        <v>43</v>
      </c>
      <c r="F51" s="23" t="s">
        <v>43</v>
      </c>
      <c r="G51" s="23">
        <v>7000.0</v>
      </c>
    </row>
    <row r="52" ht="12.75" customHeight="1">
      <c r="A52" s="20" t="s">
        <v>47</v>
      </c>
      <c r="B52" s="21" t="s">
        <v>43</v>
      </c>
      <c r="C52" s="21" t="s">
        <v>43</v>
      </c>
      <c r="D52" s="21" t="s">
        <v>43</v>
      </c>
      <c r="E52" s="21" t="s">
        <v>43</v>
      </c>
      <c r="F52" s="23" t="s">
        <v>43</v>
      </c>
      <c r="G52" s="23">
        <v>10000.0</v>
      </c>
    </row>
    <row r="53" ht="12.75" customHeight="1">
      <c r="A53" s="20"/>
      <c r="B53" s="21"/>
      <c r="C53" s="21"/>
      <c r="D53" s="21"/>
      <c r="E53" s="21"/>
      <c r="F53" s="23"/>
      <c r="G53" s="23"/>
    </row>
    <row r="54" ht="12.75" customHeight="1">
      <c r="A54" s="19" t="s">
        <v>48</v>
      </c>
      <c r="B54" s="21">
        <f>SUM(B36:B51)</f>
        <v>11</v>
      </c>
      <c r="C54" s="21"/>
      <c r="D54" s="21">
        <f>SUM(D45:D51)</f>
        <v>3040</v>
      </c>
      <c r="E54" s="21"/>
      <c r="F54" s="21">
        <f>SUM(F36:F51)</f>
        <v>0</v>
      </c>
      <c r="G54" s="23">
        <f>SUM(G46:G52)</f>
        <v>88052.1</v>
      </c>
    </row>
    <row r="55" ht="12.75" customHeight="1">
      <c r="A55" s="20"/>
      <c r="B55" s="20"/>
      <c r="C55" s="20"/>
      <c r="D55" s="20"/>
      <c r="E55" s="20"/>
      <c r="F55" s="24"/>
      <c r="G55" s="24"/>
    </row>
    <row r="56" ht="12.75" customHeight="1">
      <c r="A56" s="19" t="s">
        <v>49</v>
      </c>
      <c r="B56" s="20"/>
      <c r="C56" s="20"/>
      <c r="D56" s="20"/>
      <c r="E56" s="20"/>
      <c r="F56" s="20"/>
      <c r="G56" s="23">
        <f>SUM(G33,G54)</f>
        <v>136108.01</v>
      </c>
    </row>
    <row r="57" ht="12.0" customHeight="1">
      <c r="A57" s="19" t="s">
        <v>50</v>
      </c>
      <c r="B57" s="20"/>
      <c r="C57" s="20"/>
      <c r="D57" s="20"/>
      <c r="E57" s="20"/>
      <c r="F57" s="20"/>
      <c r="G57" s="23">
        <f>SUM(QUOTIENT(PRODUCT(15,G56),100),G56)</f>
        <v>156524.01</v>
      </c>
    </row>
    <row r="58" ht="12.0" customHeight="1">
      <c r="A58" s="19"/>
      <c r="B58" s="20"/>
      <c r="C58" s="20"/>
      <c r="D58" s="20"/>
      <c r="E58" s="20"/>
      <c r="F58" s="20"/>
      <c r="G58" s="23"/>
    </row>
    <row r="59" ht="12.0" customHeight="1">
      <c r="A59" s="19" t="s">
        <v>51</v>
      </c>
      <c r="B59" s="20"/>
      <c r="C59" s="20"/>
      <c r="D59" s="20"/>
      <c r="E59" s="20"/>
      <c r="F59" s="20"/>
      <c r="G59" s="23">
        <f>G57</f>
        <v>156524.01</v>
      </c>
    </row>
    <row r="60" ht="12.75" customHeight="1"/>
    <row r="61" ht="12.75" customHeight="1">
      <c r="A61" s="19" t="s">
        <v>52</v>
      </c>
      <c r="B61" s="20" t="s">
        <v>53</v>
      </c>
      <c r="C61" s="20" t="s">
        <v>21</v>
      </c>
      <c r="D61" s="20" t="s">
        <v>22</v>
      </c>
      <c r="E61" s="20"/>
      <c r="F61" s="20"/>
      <c r="G61" s="20"/>
    </row>
    <row r="62" ht="12.75" customHeight="1">
      <c r="A62" s="20" t="s">
        <v>54</v>
      </c>
      <c r="B62" s="20"/>
      <c r="C62" s="20"/>
      <c r="D62" s="20"/>
      <c r="E62" s="20"/>
      <c r="F62" s="20"/>
      <c r="G62" s="23">
        <v>4000.0</v>
      </c>
    </row>
    <row r="63" ht="12.75" customHeight="1">
      <c r="A63" s="20" t="s">
        <v>55</v>
      </c>
      <c r="B63" s="21">
        <v>2.0</v>
      </c>
      <c r="C63" s="22">
        <v>15.0</v>
      </c>
      <c r="D63" s="21">
        <v>400.0</v>
      </c>
      <c r="E63" s="21"/>
      <c r="F63" s="21"/>
      <c r="G63" s="23">
        <f>PRODUCT(B63,C63,D63)*1.25</f>
        <v>15000</v>
      </c>
    </row>
    <row r="64" ht="12.75" customHeight="1">
      <c r="A64" s="20" t="s">
        <v>56</v>
      </c>
      <c r="B64" s="20"/>
      <c r="C64" s="20"/>
      <c r="D64" s="20"/>
      <c r="E64" s="20"/>
      <c r="F64" s="20"/>
      <c r="G64" s="23">
        <v>8000.0</v>
      </c>
    </row>
    <row r="65" ht="12.75" customHeight="1">
      <c r="A65" s="20"/>
      <c r="B65" s="20"/>
      <c r="C65" s="20"/>
      <c r="D65" s="20"/>
      <c r="E65" s="20"/>
      <c r="F65" s="20"/>
      <c r="G65" s="21"/>
    </row>
    <row r="66" ht="12.75" customHeight="1">
      <c r="A66" s="19" t="s">
        <v>57</v>
      </c>
      <c r="B66" s="20"/>
      <c r="C66" s="20"/>
      <c r="D66" s="20"/>
      <c r="E66" s="20"/>
      <c r="F66" s="20"/>
      <c r="G66" s="23">
        <f>SUM(G62:G64)</f>
        <v>27000</v>
      </c>
    </row>
    <row r="67" ht="12.75" customHeight="1"/>
    <row r="68" ht="12.75" customHeight="1">
      <c r="A68" s="19" t="s">
        <v>58</v>
      </c>
      <c r="B68" s="20" t="s">
        <v>20</v>
      </c>
      <c r="C68" s="20" t="s">
        <v>21</v>
      </c>
      <c r="D68" s="20" t="s">
        <v>22</v>
      </c>
      <c r="E68" s="20"/>
      <c r="F68" s="20"/>
      <c r="G68" s="20"/>
    </row>
    <row r="69" ht="12.75" customHeight="1">
      <c r="A69" s="20" t="s">
        <v>54</v>
      </c>
      <c r="B69" s="20"/>
      <c r="C69" s="20"/>
      <c r="D69" s="20"/>
      <c r="E69" s="20"/>
      <c r="F69" s="20"/>
      <c r="G69" s="23">
        <v>9000.0</v>
      </c>
    </row>
    <row r="70" ht="12.75" customHeight="1">
      <c r="A70" s="20" t="s">
        <v>55</v>
      </c>
      <c r="B70" s="21">
        <v>2.0</v>
      </c>
      <c r="C70" s="22">
        <v>15.0</v>
      </c>
      <c r="D70" s="21">
        <v>450.0</v>
      </c>
      <c r="E70" s="20"/>
      <c r="F70" s="20"/>
      <c r="G70" s="23">
        <f>PRODUCT(B70:D70)*1.25</f>
        <v>16875</v>
      </c>
    </row>
    <row r="71" ht="12.75" customHeight="1">
      <c r="A71" s="20" t="s">
        <v>59</v>
      </c>
      <c r="B71" s="20"/>
      <c r="C71" s="20"/>
      <c r="D71" s="20"/>
      <c r="E71" s="20"/>
      <c r="F71" s="20"/>
      <c r="G71" s="23">
        <v>6000.0</v>
      </c>
    </row>
    <row r="72" ht="12.75" customHeight="1">
      <c r="A72" s="20"/>
      <c r="B72" s="20"/>
      <c r="C72" s="20"/>
      <c r="D72" s="20"/>
      <c r="E72" s="20"/>
      <c r="F72" s="20"/>
      <c r="G72" s="21"/>
    </row>
    <row r="73" ht="12.75" customHeight="1">
      <c r="A73" s="19" t="s">
        <v>60</v>
      </c>
      <c r="B73" s="20"/>
      <c r="C73" s="20"/>
      <c r="D73" s="20"/>
      <c r="E73" s="20"/>
      <c r="F73" s="20"/>
      <c r="G73" s="23">
        <f>SUM(G69:G71)</f>
        <v>31875</v>
      </c>
    </row>
    <row r="74" ht="12.75" customHeight="1"/>
    <row r="75" ht="12.75" customHeight="1">
      <c r="A75" s="19" t="s">
        <v>61</v>
      </c>
      <c r="B75" s="20" t="s">
        <v>20</v>
      </c>
      <c r="C75" s="20" t="s">
        <v>21</v>
      </c>
      <c r="D75" s="20" t="s">
        <v>22</v>
      </c>
      <c r="E75" s="20"/>
      <c r="F75" s="20"/>
      <c r="G75" s="20"/>
    </row>
    <row r="76" ht="12.75" customHeight="1">
      <c r="A76" s="20" t="s">
        <v>54</v>
      </c>
      <c r="B76" s="20"/>
      <c r="C76" s="20"/>
      <c r="D76" s="20"/>
      <c r="E76" s="20"/>
      <c r="F76" s="20"/>
      <c r="G76" s="23">
        <v>15000.0</v>
      </c>
    </row>
    <row r="77" ht="12.75" customHeight="1">
      <c r="A77" s="20" t="s">
        <v>55</v>
      </c>
      <c r="B77" s="21">
        <v>3.0</v>
      </c>
      <c r="C77" s="22">
        <v>15.0</v>
      </c>
      <c r="D77" s="21">
        <v>400.0</v>
      </c>
      <c r="E77" s="20"/>
      <c r="F77" s="20"/>
      <c r="G77" s="23">
        <f>PRODUCT(B77:D77)*1.25</f>
        <v>22500</v>
      </c>
    </row>
    <row r="78" ht="12.75" customHeight="1">
      <c r="A78" s="20" t="s">
        <v>59</v>
      </c>
      <c r="B78" s="20"/>
      <c r="C78" s="20"/>
      <c r="D78" s="20"/>
      <c r="E78" s="20"/>
      <c r="F78" s="20"/>
      <c r="G78" s="23">
        <v>4000.0</v>
      </c>
    </row>
    <row r="79" ht="12.75" customHeight="1">
      <c r="A79" s="20"/>
      <c r="B79" s="20"/>
      <c r="C79" s="20"/>
      <c r="D79" s="20"/>
      <c r="E79" s="20"/>
      <c r="F79" s="20"/>
      <c r="G79" s="21"/>
    </row>
    <row r="80" ht="12.75" customHeight="1">
      <c r="A80" s="19" t="s">
        <v>62</v>
      </c>
      <c r="B80" s="20"/>
      <c r="C80" s="20"/>
      <c r="D80" s="20"/>
      <c r="E80" s="20"/>
      <c r="F80" s="20"/>
      <c r="G80" s="23">
        <f>SUM(G76:G78)</f>
        <v>41500</v>
      </c>
    </row>
    <row r="81" ht="12.75" customHeight="1"/>
    <row r="82" ht="12.75" customHeight="1">
      <c r="A82" s="19" t="s">
        <v>10</v>
      </c>
      <c r="B82" s="20" t="s">
        <v>63</v>
      </c>
      <c r="C82" s="20" t="s">
        <v>64</v>
      </c>
      <c r="D82" s="20" t="s">
        <v>65</v>
      </c>
      <c r="E82" s="20"/>
      <c r="F82" s="20"/>
      <c r="G82" s="30" t="s">
        <v>66</v>
      </c>
    </row>
    <row r="83" ht="12.75" customHeight="1">
      <c r="A83" s="20" t="s">
        <v>67</v>
      </c>
      <c r="B83" s="27">
        <v>30000.0</v>
      </c>
      <c r="C83" s="31">
        <v>55000.0</v>
      </c>
      <c r="D83" s="27">
        <v>77500.0</v>
      </c>
      <c r="E83" s="20"/>
      <c r="F83" s="20"/>
      <c r="G83" s="23">
        <f t="shared" ref="G83:G85" si="11">SUM(B83,C83,D83)</f>
        <v>162500</v>
      </c>
    </row>
    <row r="84" ht="12.75" customHeight="1">
      <c r="A84" s="20" t="s">
        <v>68</v>
      </c>
      <c r="B84" s="27">
        <v>22500.0</v>
      </c>
      <c r="C84" s="27">
        <v>30000.0</v>
      </c>
      <c r="D84" s="27">
        <v>37500.0</v>
      </c>
      <c r="E84" s="20"/>
      <c r="F84" s="20"/>
      <c r="G84" s="23">
        <f t="shared" si="11"/>
        <v>90000</v>
      </c>
    </row>
    <row r="85" ht="12.75" customHeight="1">
      <c r="A85" s="20" t="s">
        <v>69</v>
      </c>
      <c r="B85" s="27">
        <v>25000.0</v>
      </c>
      <c r="C85" s="27">
        <v>25000.0</v>
      </c>
      <c r="D85" s="27">
        <v>25000.0</v>
      </c>
      <c r="E85" s="20"/>
      <c r="F85" s="20"/>
      <c r="G85" s="23">
        <f t="shared" si="11"/>
        <v>75000</v>
      </c>
    </row>
    <row r="86" ht="12.75" customHeight="1">
      <c r="A86" s="20"/>
      <c r="B86" s="21"/>
      <c r="C86" s="21"/>
      <c r="D86" s="21"/>
      <c r="E86" s="20"/>
      <c r="F86" s="20"/>
      <c r="G86" s="20"/>
    </row>
    <row r="87" ht="12.75" customHeight="1">
      <c r="A87" s="19" t="s">
        <v>70</v>
      </c>
      <c r="B87" s="23">
        <f t="shared" ref="B87:D87" si="12">SUM(B83:B85)</f>
        <v>77500</v>
      </c>
      <c r="C87" s="32">
        <f t="shared" si="12"/>
        <v>110000</v>
      </c>
      <c r="D87" s="23">
        <f t="shared" si="12"/>
        <v>140000</v>
      </c>
      <c r="E87" s="20"/>
      <c r="F87" s="20"/>
      <c r="G87" s="24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</sheetData>
  <mergeCells count="3">
    <mergeCell ref="A1:G1"/>
    <mergeCell ref="A3:G3"/>
    <mergeCell ref="D21:F21"/>
  </mergeCells>
  <printOptions gridLines="1"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2003-02-20T16:30:31Z</dcterms:created>
  <dc:creator>IT Department</dc:creator>
</cp:coreProperties>
</file>