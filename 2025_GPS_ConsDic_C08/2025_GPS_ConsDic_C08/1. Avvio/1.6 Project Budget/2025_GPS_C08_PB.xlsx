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Cost Baseline" sheetId="2" r:id="rId5"/>
    <sheet state="visible" name="Financial Exposure" sheetId="3" r:id="rId6"/>
  </sheets>
  <definedNames/>
  <calcPr/>
</workbook>
</file>

<file path=xl/sharedStrings.xml><?xml version="1.0" encoding="utf-8"?>
<sst xmlns="http://schemas.openxmlformats.org/spreadsheetml/2006/main" count="226" uniqueCount="94">
  <si>
    <t>Work Package 1.1 - SOW</t>
  </si>
  <si>
    <t>Attività</t>
  </si>
  <si>
    <t>Data di inizio</t>
  </si>
  <si>
    <t>Data di fine</t>
  </si>
  <si>
    <t>Durata in ore</t>
  </si>
  <si>
    <t>Costo totale</t>
  </si>
  <si>
    <t>Completamento SOW</t>
  </si>
  <si>
    <t>Presentazione e validazione da parte del team e stakeholder</t>
  </si>
  <si>
    <t>Totale</t>
  </si>
  <si>
    <t>Work Package 1.2 - FA</t>
  </si>
  <si>
    <t>Stima dei costi</t>
  </si>
  <si>
    <t>Benefici del Progetto</t>
  </si>
  <si>
    <t>Indicatori Finanziari</t>
  </si>
  <si>
    <t>Work Package 1.3 - BC</t>
  </si>
  <si>
    <t>Ricerca e Analisi</t>
  </si>
  <si>
    <t>Definizione del Problema e degli Obiettivi</t>
  </si>
  <si>
    <t>Confronto tra sistemi tecnologici Rischi e Vincoli</t>
  </si>
  <si>
    <t>Valutazione e Raccomandazione</t>
  </si>
  <si>
    <t>Work Package 1.4 - PB</t>
  </si>
  <si>
    <t>Prima bozza</t>
  </si>
  <si>
    <t>Concluisione PB</t>
  </si>
  <si>
    <t>Work Package 1.5 - SR</t>
  </si>
  <si>
    <t>Conclusione SR</t>
  </si>
  <si>
    <t>Aggiornamento SR</t>
  </si>
  <si>
    <t>Work Package 1.6 - PC</t>
  </si>
  <si>
    <t>Conclusione PC</t>
  </si>
  <si>
    <t xml:space="preserve">Presentazione del Project Charter al team e agli stakeholder </t>
  </si>
  <si>
    <t>Work Package 1.7 - TC</t>
  </si>
  <si>
    <t xml:space="preserve">Definizione delle regole e linee guida </t>
  </si>
  <si>
    <t xml:space="preserve">Stesura dei contenuti principali </t>
  </si>
  <si>
    <t xml:space="preserve">Presentazione del Team Contract al team </t>
  </si>
  <si>
    <t>Work Package 1.8 - KOM</t>
  </si>
  <si>
    <t>Meeting</t>
  </si>
  <si>
    <t>Work Package 1.9 - CSL</t>
  </si>
  <si>
    <t>Set-up degli strumenti</t>
  </si>
  <si>
    <t xml:space="preserve">Verifica </t>
  </si>
  <si>
    <t>Work Package 2.1 - SS</t>
  </si>
  <si>
    <t>Preparazione</t>
  </si>
  <si>
    <t>Revisione e Validazione</t>
  </si>
  <si>
    <t>Work Package 2.2 -WBS</t>
  </si>
  <si>
    <t xml:space="preserve">Suddivisione delle attività in sotto task </t>
  </si>
  <si>
    <t xml:space="preserve">Rappresentazione grafica della struttura </t>
  </si>
  <si>
    <t xml:space="preserve">Validazione della WBS con il team </t>
  </si>
  <si>
    <t>Work Package 2.3 -RSO</t>
  </si>
  <si>
    <t xml:space="preserve">OBS Completata </t>
  </si>
  <si>
    <t>Aggiornamento RACI</t>
  </si>
  <si>
    <t>Work Package 2.4 - TM</t>
  </si>
  <si>
    <t>Finalizzazione GANTT</t>
  </si>
  <si>
    <t>Aggiornamento GANTT</t>
  </si>
  <si>
    <t>Work Package 2.5 - CPM</t>
  </si>
  <si>
    <t xml:space="preserve">Configuration Items Auditati e Verificati </t>
  </si>
  <si>
    <t>Work Package 2.6 - RMP</t>
  </si>
  <si>
    <t xml:space="preserve">Registro dei rischi finalizzato </t>
  </si>
  <si>
    <t xml:space="preserve">Aggiornamento RR </t>
  </si>
  <si>
    <t>Work Package 3.1.1.1 - RAD</t>
  </si>
  <si>
    <t xml:space="preserve">Prima Bozza </t>
  </si>
  <si>
    <t xml:space="preserve">Completamento </t>
  </si>
  <si>
    <t>Work Package 3.1.1.2 - SDD</t>
  </si>
  <si>
    <t>Analisi e Obiettivi</t>
  </si>
  <si>
    <t>Diagrammi</t>
  </si>
  <si>
    <t>Documentazione</t>
  </si>
  <si>
    <t xml:space="preserve">Verifica e Revisione </t>
  </si>
  <si>
    <t>Work Package 3.1.1.3 - ODD</t>
  </si>
  <si>
    <t>Design Patterns</t>
  </si>
  <si>
    <t>Revisione</t>
  </si>
  <si>
    <t>Work Package 3.1.1.4 - IMP</t>
  </si>
  <si>
    <t>Front-end</t>
  </si>
  <si>
    <t>Back-end</t>
  </si>
  <si>
    <t xml:space="preserve">Integrazione Back-end Front-end </t>
  </si>
  <si>
    <t xml:space="preserve">Code Review </t>
  </si>
  <si>
    <t>Work Package 3.1.1.5 - Testing</t>
  </si>
  <si>
    <t>Pianificazione e Preparazione</t>
  </si>
  <si>
    <t xml:space="preserve">Esecuzione e Tracciabilità </t>
  </si>
  <si>
    <t>Documentazione e Reportistica</t>
  </si>
  <si>
    <t>Work Package 3.1.1.5 - ARR</t>
  </si>
  <si>
    <t>Mesi</t>
  </si>
  <si>
    <t>Costo Mese</t>
  </si>
  <si>
    <t>Costo Cumulato</t>
  </si>
  <si>
    <t>10/25</t>
  </si>
  <si>
    <t>11/25</t>
  </si>
  <si>
    <t>12/25</t>
  </si>
  <si>
    <t>01/26</t>
  </si>
  <si>
    <t>02/26</t>
  </si>
  <si>
    <t>03/26</t>
  </si>
  <si>
    <t>04/26</t>
  </si>
  <si>
    <t>05/26</t>
  </si>
  <si>
    <t>06/26</t>
  </si>
  <si>
    <t>Month</t>
  </si>
  <si>
    <t>Cost</t>
  </si>
  <si>
    <t>Total spent</t>
  </si>
  <si>
    <t>Transfers</t>
  </si>
  <si>
    <t>Extra transfers</t>
  </si>
  <si>
    <t>Total founding</t>
  </si>
  <si>
    <t>Cash in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</si>
</sst>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0&quot;€&quot;"/>
    <numFmt numFmtId="166" formatCode="d/m"/>
    <numFmt numFmtId="167" formatCode="[$€-2]\ #,##0.00"/>
    <numFmt numFmtId="168" formatCode="d/m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entury Gothic"/>
    </font>
    <font>
      <color theme="1"/>
      <name val="Arial"/>
    </font>
    <font>
      <b/>
      <sz val="12.0"/>
      <color rgb="FFFFFFFF"/>
      <name val="Century Gothic"/>
    </font>
    <font>
      <b/>
      <sz val="10.0"/>
      <color theme="1"/>
      <name val="Arial"/>
      <scheme val="minor"/>
    </font>
    <font>
      <sz val="12.0"/>
      <color rgb="FF000000"/>
      <name val="&quot;Century Gothic&quot;"/>
    </font>
    <font>
      <sz val="10.0"/>
      <color theme="1"/>
      <name val="Arial"/>
      <scheme val="minor"/>
    </font>
    <font>
      <b/>
      <color theme="1"/>
      <name val="Arial"/>
    </font>
    <font>
      <b/>
      <sz val="12.0"/>
      <color rgb="FFFFFFFF"/>
      <name val="&quot;Century Gothic&quot;"/>
    </font>
    <font>
      <sz val="12.0"/>
      <color rgb="FF000000"/>
      <name val="Century Gothic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ont="1">
      <alignment horizontal="center"/>
    </xf>
    <xf borderId="3" fillId="4" fontId="2" numFmtId="0" xfId="0" applyAlignment="1" applyBorder="1" applyFill="1" applyFont="1">
      <alignment horizontal="center" readingOrder="0" vertical="bottom"/>
    </xf>
    <xf borderId="3" fillId="4" fontId="2" numFmtId="164" xfId="0" applyAlignment="1" applyBorder="1" applyFont="1" applyNumberFormat="1">
      <alignment horizontal="center" readingOrder="0" vertical="bottom"/>
    </xf>
    <xf borderId="3" fillId="4" fontId="2" numFmtId="0" xfId="0" applyAlignment="1" applyBorder="1" applyFont="1">
      <alignment horizontal="left" readingOrder="0" vertical="bottom"/>
    </xf>
    <xf borderId="3" fillId="4" fontId="2" numFmtId="165" xfId="0" applyAlignment="1" applyBorder="1" applyFont="1" applyNumberFormat="1">
      <alignment horizontal="left" readingOrder="0" vertical="bottom"/>
    </xf>
    <xf borderId="0" fillId="2" fontId="1" numFmtId="0" xfId="0" applyFont="1"/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2" fontId="5" numFmtId="166" xfId="0" applyAlignment="1" applyFont="1" applyNumberForma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bottom" wrapText="1"/>
    </xf>
    <xf borderId="3" fillId="5" fontId="2" numFmtId="164" xfId="0" applyAlignment="1" applyBorder="1" applyFont="1" applyNumberFormat="1">
      <alignment horizontal="center" readingOrder="0" vertical="bottom"/>
    </xf>
    <xf borderId="3" fillId="5" fontId="2" numFmtId="0" xfId="0" applyAlignment="1" applyBorder="1" applyFont="1">
      <alignment horizontal="left" readingOrder="0" vertical="bottom"/>
    </xf>
    <xf borderId="3" fillId="5" fontId="2" numFmtId="165" xfId="0" applyAlignment="1" applyBorder="1" applyFont="1" applyNumberFormat="1">
      <alignment horizontal="left" readingOrder="0" vertical="bottom"/>
    </xf>
    <xf borderId="0" fillId="0" fontId="1" numFmtId="0" xfId="0" applyAlignment="1" applyFont="1">
      <alignment vertical="bottom"/>
    </xf>
    <xf borderId="0" fillId="2" fontId="2" numFmtId="164" xfId="0" applyAlignment="1" applyFont="1" applyNumberFormat="1">
      <alignment horizontal="center" readingOrder="0" vertical="bottom"/>
    </xf>
    <xf borderId="0" fillId="2" fontId="2" numFmtId="165" xfId="0" applyAlignment="1" applyFont="1" applyNumberFormat="1">
      <alignment horizontal="left" readingOrder="0" vertical="bottom"/>
    </xf>
    <xf borderId="0" fillId="2" fontId="6" numFmtId="164" xfId="0" applyAlignment="1" applyFont="1" applyNumberFormat="1">
      <alignment horizontal="left" readingOrder="0" shrinkToFit="0" wrapText="1"/>
    </xf>
    <xf borderId="0" fillId="2" fontId="6" numFmtId="0" xfId="0" applyAlignment="1" applyFont="1">
      <alignment horizontal="left" readingOrder="0" shrinkToFit="0" wrapText="1"/>
    </xf>
    <xf borderId="0" fillId="2" fontId="6" numFmtId="165" xfId="0" applyAlignment="1" applyFont="1" applyNumberFormat="1">
      <alignment horizontal="left" readingOrder="0" shrinkToFit="0" wrapText="1"/>
    </xf>
    <xf borderId="0" fillId="2" fontId="0" numFmtId="167" xfId="0" applyAlignment="1" applyFont="1" applyNumberFormat="1">
      <alignment horizontal="center" readingOrder="0" vertical="center"/>
    </xf>
    <xf borderId="0" fillId="2" fontId="0" numFmtId="167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left" readingOrder="0" vertical="bottom"/>
    </xf>
    <xf borderId="0" fillId="2" fontId="6" numFmtId="165" xfId="0" applyAlignment="1" applyFont="1" applyNumberFormat="1">
      <alignment horizontal="left" readingOrder="0" shrinkToFit="0" wrapText="0"/>
    </xf>
    <xf borderId="0" fillId="2" fontId="6" numFmtId="0" xfId="0" applyAlignment="1" applyFont="1">
      <alignment horizontal="center" readingOrder="0" shrinkToFit="0" wrapText="1"/>
    </xf>
    <xf borderId="0" fillId="2" fontId="0" numFmtId="167" xfId="0" applyAlignment="1" applyFont="1" applyNumberFormat="1">
      <alignment horizontal="left" readingOrder="0" shrinkToFit="0" wrapText="1"/>
    </xf>
    <xf borderId="0" fillId="2" fontId="7" numFmtId="167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7" numFmtId="167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/>
    </xf>
    <xf borderId="0" fillId="2" fontId="6" numFmtId="0" xfId="0" applyAlignment="1" applyFont="1">
      <alignment horizontal="left" shrinkToFit="0" wrapText="1"/>
    </xf>
    <xf borderId="1" fillId="3" fontId="9" numFmtId="0" xfId="0" applyAlignment="1" applyBorder="1" applyFont="1">
      <alignment horizontal="center" readingOrder="0" shrinkToFit="0" vertical="center" wrapText="0"/>
    </xf>
    <xf borderId="2" fillId="3" fontId="9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wrapText="1"/>
    </xf>
    <xf borderId="0" fillId="2" fontId="9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4" fontId="6" numFmtId="0" xfId="0" applyAlignment="1" applyBorder="1" applyFont="1">
      <alignment horizontal="center" readingOrder="0" shrinkToFit="0" vertical="bottom" wrapText="0"/>
    </xf>
    <xf borderId="3" fillId="4" fontId="6" numFmtId="164" xfId="0" applyAlignment="1" applyBorder="1" applyFont="1" applyNumberFormat="1">
      <alignment horizontal="center" readingOrder="0" vertical="bottom"/>
    </xf>
    <xf borderId="3" fillId="4" fontId="6" numFmtId="0" xfId="0" applyAlignment="1" applyBorder="1" applyFont="1">
      <alignment horizontal="left" readingOrder="0" vertical="bottom"/>
    </xf>
    <xf borderId="3" fillId="4" fontId="6" numFmtId="165" xfId="0" applyAlignment="1" applyBorder="1" applyFont="1" applyNumberFormat="1">
      <alignment horizontal="left" readingOrder="0" shrinkToFit="0" vertical="bottom" wrapText="0"/>
    </xf>
    <xf borderId="0" fillId="2" fontId="6" numFmtId="164" xfId="0" applyAlignment="1" applyFont="1" applyNumberFormat="1">
      <alignment horizontal="center" readingOrder="0" vertical="bottom"/>
    </xf>
    <xf borderId="3" fillId="5" fontId="6" numFmtId="0" xfId="0" applyAlignment="1" applyBorder="1" applyFont="1">
      <alignment horizontal="center" readingOrder="0" shrinkToFit="0" vertical="bottom" wrapText="0"/>
    </xf>
    <xf borderId="3" fillId="5" fontId="6" numFmtId="164" xfId="0" applyAlignment="1" applyBorder="1" applyFont="1" applyNumberFormat="1">
      <alignment horizontal="center" readingOrder="0" vertical="bottom"/>
    </xf>
    <xf borderId="3" fillId="5" fontId="6" numFmtId="0" xfId="0" applyAlignment="1" applyBorder="1" applyFont="1">
      <alignment horizontal="left" readingOrder="0" vertical="bottom"/>
    </xf>
    <xf borderId="3" fillId="5" fontId="6" numFmtId="165" xfId="0" applyAlignment="1" applyBorder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left" readingOrder="0" shrinkToFit="0" wrapText="0"/>
    </xf>
    <xf borderId="0" fillId="0" fontId="6" numFmtId="165" xfId="0" applyAlignment="1" applyFont="1" applyNumberFormat="1">
      <alignment horizontal="left" readingOrder="0" shrinkToFit="0" wrapText="0"/>
    </xf>
    <xf borderId="0" fillId="2" fontId="2" numFmtId="168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vertical="top" wrapText="1"/>
    </xf>
    <xf borderId="0" fillId="2" fontId="6" numFmtId="165" xfId="0" applyAlignment="1" applyFont="1" applyNumberFormat="1">
      <alignment horizontal="center" readingOrder="0" shrinkToFit="0" wrapText="0"/>
    </xf>
    <xf borderId="3" fillId="3" fontId="9" numFmtId="0" xfId="0" applyAlignment="1" applyBorder="1" applyFont="1">
      <alignment horizontal="left" readingOrder="0" shrinkToFit="0" vertical="center" wrapText="1"/>
    </xf>
    <xf borderId="3" fillId="4" fontId="6" numFmtId="0" xfId="0" applyAlignment="1" applyBorder="1" applyFont="1">
      <alignment horizontal="left" readingOrder="0" shrinkToFit="0" wrapText="1"/>
    </xf>
    <xf borderId="3" fillId="4" fontId="6" numFmtId="164" xfId="0" applyAlignment="1" applyBorder="1" applyFont="1" applyNumberFormat="1">
      <alignment horizontal="left" readingOrder="0" shrinkToFit="0" wrapText="1"/>
    </xf>
    <xf borderId="3" fillId="4" fontId="6" numFmtId="165" xfId="0" applyAlignment="1" applyBorder="1" applyFont="1" applyNumberFormat="1">
      <alignment horizontal="left" readingOrder="0" shrinkToFit="0" wrapText="1"/>
    </xf>
    <xf borderId="0" fillId="2" fontId="6" numFmtId="168" xfId="0" applyAlignment="1" applyFont="1" applyNumberFormat="1">
      <alignment horizontal="left" readingOrder="0" shrinkToFit="0" wrapText="1"/>
    </xf>
    <xf borderId="3" fillId="5" fontId="6" numFmtId="0" xfId="0" applyAlignment="1" applyBorder="1" applyFont="1">
      <alignment horizontal="left" readingOrder="0" shrinkToFit="0" wrapText="1"/>
    </xf>
    <xf borderId="3" fillId="5" fontId="6" numFmtId="164" xfId="0" applyAlignment="1" applyBorder="1" applyFont="1" applyNumberFormat="1">
      <alignment horizontal="left" readingOrder="0" shrinkToFit="0" wrapText="1"/>
    </xf>
    <xf borderId="3" fillId="5" fontId="6" numFmtId="165" xfId="0" applyAlignment="1" applyBorder="1" applyFont="1" applyNumberFormat="1">
      <alignment horizontal="left" readingOrder="0" shrinkToFit="0" wrapText="1"/>
    </xf>
    <xf borderId="0" fillId="2" fontId="10" numFmtId="165" xfId="0" applyAlignment="1" applyFont="1" applyNumberFormat="1">
      <alignment horizontal="left" readingOrder="0" shrinkToFit="0" wrapText="0"/>
    </xf>
    <xf borderId="0" fillId="2" fontId="2" numFmtId="0" xfId="0" applyAlignment="1" applyFont="1">
      <alignment horizontal="left" readingOrder="0"/>
    </xf>
    <xf borderId="3" fillId="5" fontId="6" numFmtId="168" xfId="0" applyAlignment="1" applyBorder="1" applyFont="1" applyNumberFormat="1">
      <alignment horizontal="left" readingOrder="0" shrinkToFit="0" wrapText="1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vertical="bottom"/>
    </xf>
    <xf borderId="0" fillId="2" fontId="10" numFmtId="0" xfId="0" applyAlignment="1" applyFont="1">
      <alignment horizontal="left" readingOrder="0" shrinkToFit="0" wrapText="1"/>
    </xf>
    <xf borderId="0" fillId="2" fontId="10" numFmtId="165" xfId="0" applyAlignment="1" applyFont="1" applyNumberFormat="1">
      <alignment horizontal="left" readingOrder="0" shrinkToFit="0" wrapText="1"/>
    </xf>
    <xf borderId="0" fillId="2" fontId="1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167" xfId="0" applyAlignment="1" applyFont="1" applyNumberFormat="1">
      <alignment horizontal="left"/>
    </xf>
    <xf borderId="0" fillId="2" fontId="0" numFmtId="0" xfId="0" applyAlignment="1" applyFont="1">
      <alignment horizontal="left" readingOrder="0" shrinkToFit="0" wrapText="1"/>
    </xf>
    <xf borderId="0" fillId="2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3" fillId="4" fontId="6" numFmtId="168" xfId="0" applyAlignment="1" applyBorder="1" applyFont="1" applyNumberForma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6" numFmtId="165" xfId="0" applyAlignment="1" applyFont="1" applyNumberFormat="1">
      <alignment horizontal="center" readingOrder="0" shrinkToFit="0" wrapText="0"/>
    </xf>
    <xf borderId="3" fillId="4" fontId="6" numFmtId="165" xfId="0" applyAlignment="1" applyBorder="1" applyFont="1" applyNumberFormat="1">
      <alignment horizontal="left" readingOrder="0" shrinkToFit="0" wrapText="0"/>
    </xf>
    <xf borderId="3" fillId="5" fontId="6" numFmtId="165" xfId="0" applyAlignment="1" applyBorder="1" applyFont="1" applyNumberFormat="1">
      <alignment horizontal="left" readingOrder="0" shrinkToFit="0" wrapText="0"/>
    </xf>
    <xf borderId="3" fillId="5" fontId="2" numFmtId="168" xfId="0" applyAlignment="1" applyBorder="1" applyFont="1" applyNumberFormat="1">
      <alignment horizontal="left" readingOrder="0"/>
    </xf>
    <xf borderId="3" fillId="5" fontId="2" numFmtId="0" xfId="0" applyAlignment="1" applyBorder="1" applyFont="1">
      <alignment horizontal="left" readingOrder="0"/>
    </xf>
    <xf borderId="3" fillId="4" fontId="10" numFmtId="0" xfId="0" applyAlignment="1" applyBorder="1" applyFont="1">
      <alignment horizontal="left" readingOrder="0" shrinkToFit="0" wrapText="1"/>
    </xf>
    <xf borderId="3" fillId="4" fontId="10" numFmtId="165" xfId="0" applyAlignment="1" applyBorder="1" applyFont="1" applyNumberFormat="1">
      <alignment horizontal="left" readingOrder="0" shrinkToFit="0" wrapText="1"/>
    </xf>
    <xf borderId="3" fillId="5" fontId="10" numFmtId="0" xfId="0" applyAlignment="1" applyBorder="1" applyFont="1">
      <alignment horizontal="left" readingOrder="0" shrinkToFit="0" wrapText="1"/>
    </xf>
    <xf borderId="3" fillId="5" fontId="10" numFmtId="165" xfId="0" applyAlignment="1" applyBorder="1" applyFont="1" applyNumberFormat="1">
      <alignment horizontal="left" readingOrder="0" shrinkToFit="0" wrapText="1"/>
    </xf>
    <xf borderId="0" fillId="0" fontId="10" numFmtId="165" xfId="0" applyAlignment="1" applyFont="1" applyNumberFormat="1">
      <alignment horizontal="left" readingOrder="0" shrinkToFit="0" wrapText="0"/>
    </xf>
    <xf borderId="3" fillId="5" fontId="2" numFmtId="164" xfId="0" applyAlignment="1" applyBorder="1" applyFont="1" applyNumberFormat="1">
      <alignment horizontal="left" readingOrder="0"/>
    </xf>
    <xf borderId="3" fillId="6" fontId="12" numFmtId="0" xfId="0" applyAlignment="1" applyBorder="1" applyFill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3" fillId="0" fontId="13" numFmtId="167" xfId="0" applyAlignment="1" applyBorder="1" applyFont="1" applyNumberFormat="1">
      <alignment horizontal="center" readingOrder="0" vertical="center"/>
    </xf>
    <xf borderId="3" fillId="0" fontId="13" numFmtId="167" xfId="0" applyAlignment="1" applyBorder="1" applyFont="1" applyNumberFormat="1">
      <alignment horizontal="center" vertical="center"/>
    </xf>
    <xf borderId="3" fillId="2" fontId="14" numFmtId="0" xfId="0" applyAlignment="1" applyBorder="1" applyFont="1">
      <alignment horizontal="center" readingOrder="0" shrinkToFit="0" vertical="center" wrapText="1"/>
    </xf>
    <xf borderId="3" fillId="2" fontId="14" numFmtId="167" xfId="0" applyAlignment="1" applyBorder="1" applyFont="1" applyNumberFormat="1">
      <alignment horizontal="center" readingOrder="0" shrinkToFit="0" vertical="center" wrapText="1"/>
    </xf>
    <xf borderId="0" fillId="0" fontId="15" numFmtId="0" xfId="0" applyFont="1"/>
    <xf borderId="3" fillId="6" fontId="16" numFmtId="0" xfId="0" applyAlignment="1" applyBorder="1" applyFont="1">
      <alignment horizontal="center" readingOrder="0" shrinkToFit="0" vertical="center" wrapText="1"/>
    </xf>
    <xf borderId="3" fillId="6" fontId="16" numFmtId="0" xfId="0" applyAlignment="1" applyBorder="1" applyFont="1">
      <alignment horizontal="center" readingOrder="0" vertical="center"/>
    </xf>
    <xf borderId="3" fillId="6" fontId="16" numFmtId="166" xfId="0" applyAlignment="1" applyBorder="1" applyFont="1" applyNumberFormat="1">
      <alignment horizontal="center" readingOrder="0" vertical="center"/>
    </xf>
    <xf borderId="3" fillId="0" fontId="17" numFmtId="167" xfId="0" applyAlignment="1" applyBorder="1" applyFont="1" applyNumberFormat="1">
      <alignment horizontal="center" readingOrder="0" vertical="center"/>
    </xf>
    <xf borderId="3" fillId="2" fontId="17" numFmtId="167" xfId="0" applyAlignment="1" applyBorder="1" applyFont="1" applyNumberFormat="1">
      <alignment horizontal="center" readingOrder="0" shrinkToFit="0" vertical="center" wrapText="0"/>
    </xf>
    <xf borderId="3" fillId="0" fontId="15" numFmtId="167" xfId="0" applyAlignment="1" applyBorder="1" applyFont="1" applyNumberFormat="1">
      <alignment horizontal="center" vertical="center"/>
    </xf>
    <xf borderId="3" fillId="0" fontId="15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 Baseline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'Cost Baseline'!$A$3:$A$11</c:f>
            </c:strRef>
          </c:cat>
          <c:val>
            <c:numRef>
              <c:f>'Cost Baseline'!$C$3:$C$11</c:f>
              <c:numCache/>
            </c:numRef>
          </c:val>
          <c:smooth val="0"/>
        </c:ser>
        <c:axId val="944104652"/>
        <c:axId val="38452357"/>
      </c:lineChart>
      <c:catAx>
        <c:axId val="944104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52357"/>
      </c:catAx>
      <c:valAx>
        <c:axId val="38452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Costo Cumulato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104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Financial Exposure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'Financial Exposure'!$B$4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'Financial Exposure'!$C$2:$K$2</c:f>
            </c:strRef>
          </c:cat>
          <c:val>
            <c:numRef>
              <c:f>'Financial Exposure'!$C$4:$K$4</c:f>
              <c:numCache/>
            </c:numRef>
          </c:val>
          <c:smooth val="0"/>
        </c:ser>
        <c:ser>
          <c:idx val="1"/>
          <c:order val="1"/>
          <c:tx>
            <c:strRef>
              <c:f>'Financial Exposure'!$B$7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'Financial Exposure'!$C$2:$K$2</c:f>
            </c:strRef>
          </c:cat>
          <c:val>
            <c:numRef>
              <c:f>'Financial Exposure'!$C$7:$K$7</c:f>
              <c:numCache/>
            </c:numRef>
          </c:val>
          <c:smooth val="0"/>
        </c:ser>
        <c:axId val="1341755074"/>
        <c:axId val="206351232"/>
      </c:lineChart>
      <c:catAx>
        <c:axId val="1341755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51232"/>
      </c:catAx>
      <c:valAx>
        <c:axId val="206351232"/>
        <c:scaling>
          <c:orientation val="minMax"/>
          <c:max val="16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755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180975</xdr:rowOff>
    </xdr:from>
    <xdr:ext cx="6667500" cy="41243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8</xdr:row>
      <xdr:rowOff>133350</xdr:rowOff>
    </xdr:from>
    <xdr:ext cx="8963025" cy="55435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38.13"/>
    <col customWidth="1" min="4" max="4" width="23.13"/>
    <col customWidth="1" min="5" max="5" width="15.63"/>
    <col customWidth="1" min="6" max="6" width="24.63"/>
    <col customWidth="1" min="7" max="7" width="25.88"/>
    <col customWidth="1" min="8" max="8" width="22.13"/>
    <col customWidth="1" min="9" max="9" width="23.75"/>
    <col customWidth="1" min="10" max="10" width="18.38"/>
    <col customWidth="1" min="11" max="11" width="17.63"/>
    <col customWidth="1" min="12" max="12" width="17.13"/>
    <col customWidth="1" min="13" max="13" width="23.25"/>
    <col customWidth="1" min="17" max="17" width="8.5"/>
    <col customWidth="1" min="18" max="26" width="10.38"/>
  </cols>
  <sheetData>
    <row r="2">
      <c r="B2" s="1"/>
      <c r="C2" s="1"/>
      <c r="E2" s="1"/>
      <c r="F2" s="1"/>
    </row>
    <row r="3">
      <c r="B3" s="1"/>
      <c r="C3" s="1"/>
      <c r="E3" s="1"/>
      <c r="F3" s="1"/>
      <c r="G3" s="1"/>
      <c r="H3" s="1"/>
      <c r="I3" s="1"/>
      <c r="J3" s="1"/>
    </row>
    <row r="4">
      <c r="B4" s="2" t="s">
        <v>0</v>
      </c>
      <c r="C4" s="3"/>
      <c r="D4" s="3"/>
      <c r="E4" s="3"/>
      <c r="F4" s="3"/>
      <c r="G4" s="1"/>
      <c r="H4" s="1"/>
      <c r="I4" s="1"/>
      <c r="J4" s="4"/>
    </row>
    <row r="5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1"/>
      <c r="H5" s="1"/>
      <c r="I5" s="1"/>
      <c r="J5" s="4"/>
    </row>
    <row r="6">
      <c r="B6" s="7" t="s">
        <v>6</v>
      </c>
      <c r="C6" s="8">
        <v>45932.0</v>
      </c>
      <c r="D6" s="8">
        <v>45937.0</v>
      </c>
      <c r="E6" s="9">
        <v>18.0</v>
      </c>
      <c r="F6" s="10">
        <v>370.8</v>
      </c>
      <c r="G6" s="1"/>
      <c r="H6" s="1"/>
      <c r="I6" s="1"/>
      <c r="J6" s="11"/>
      <c r="Q6" s="12"/>
      <c r="R6" s="13"/>
      <c r="S6" s="14"/>
      <c r="T6" s="13"/>
      <c r="U6" s="13"/>
      <c r="V6" s="13"/>
      <c r="W6" s="13"/>
      <c r="X6" s="13"/>
      <c r="Y6" s="13"/>
      <c r="Z6" s="13"/>
    </row>
    <row r="7">
      <c r="B7" s="15" t="s">
        <v>7</v>
      </c>
      <c r="C7" s="16">
        <v>45937.0</v>
      </c>
      <c r="D7" s="16">
        <v>45937.0</v>
      </c>
      <c r="E7" s="17">
        <v>2.0</v>
      </c>
      <c r="F7" s="18">
        <v>41.2</v>
      </c>
      <c r="G7" s="19"/>
      <c r="H7" s="20"/>
      <c r="I7" s="21"/>
      <c r="J7" s="11"/>
      <c r="M7" s="22"/>
      <c r="N7" s="23"/>
      <c r="O7" s="24"/>
      <c r="Q7" s="12"/>
      <c r="R7" s="25"/>
      <c r="S7" s="26"/>
      <c r="T7" s="26"/>
      <c r="U7" s="25"/>
      <c r="V7" s="25"/>
      <c r="W7" s="25"/>
      <c r="X7" s="25"/>
      <c r="Y7" s="25"/>
      <c r="Z7" s="25"/>
    </row>
    <row r="8">
      <c r="B8" s="27"/>
      <c r="C8" s="27"/>
      <c r="D8" s="28" t="s">
        <v>8</v>
      </c>
      <c r="E8" s="29">
        <v>20.0</v>
      </c>
      <c r="F8" s="30">
        <v>412.0</v>
      </c>
      <c r="H8" s="22"/>
      <c r="I8" s="31"/>
      <c r="J8" s="11"/>
      <c r="M8" s="32"/>
      <c r="N8" s="23"/>
      <c r="O8" s="33"/>
      <c r="Q8" s="12"/>
      <c r="R8" s="34"/>
      <c r="S8" s="34"/>
      <c r="T8" s="34"/>
      <c r="U8" s="34"/>
      <c r="V8" s="34"/>
      <c r="W8" s="34"/>
      <c r="X8" s="34"/>
      <c r="Y8" s="34"/>
      <c r="Z8" s="34"/>
    </row>
    <row r="9">
      <c r="A9" s="35"/>
      <c r="B9" s="3"/>
      <c r="C9" s="36"/>
      <c r="D9" s="28"/>
      <c r="E9" s="28"/>
      <c r="F9" s="37"/>
      <c r="G9" s="38"/>
      <c r="H9" s="22"/>
      <c r="I9" s="31"/>
      <c r="J9" s="11"/>
      <c r="K9" s="38"/>
      <c r="L9" s="38"/>
      <c r="M9" s="11"/>
      <c r="N9" s="11"/>
      <c r="Q9" s="12"/>
      <c r="R9" s="39"/>
      <c r="S9" s="39"/>
      <c r="T9" s="39"/>
      <c r="U9" s="39"/>
      <c r="V9" s="39"/>
      <c r="W9" s="39"/>
      <c r="X9" s="39"/>
      <c r="Y9" s="39"/>
      <c r="Z9" s="39"/>
    </row>
    <row r="10" ht="26.25" customHeight="1">
      <c r="A10" s="40"/>
      <c r="B10" s="41" t="s">
        <v>9</v>
      </c>
      <c r="C10" s="42"/>
      <c r="D10" s="42"/>
      <c r="E10" s="42"/>
      <c r="F10" s="42"/>
      <c r="G10" s="43"/>
      <c r="H10" s="22"/>
      <c r="I10" s="31"/>
      <c r="J10" s="11"/>
      <c r="K10" s="44"/>
      <c r="L10" s="44"/>
      <c r="M10" s="45"/>
      <c r="N10" s="45"/>
      <c r="Q10" s="12"/>
      <c r="R10" s="39"/>
      <c r="S10" s="39"/>
      <c r="T10" s="39"/>
      <c r="U10" s="39"/>
      <c r="V10" s="39"/>
      <c r="W10" s="39"/>
      <c r="X10" s="39"/>
      <c r="Y10" s="39"/>
      <c r="Z10" s="39"/>
    </row>
    <row r="11" ht="36.75" customHeight="1">
      <c r="A11" s="40"/>
      <c r="B11" s="46" t="s">
        <v>1</v>
      </c>
      <c r="C11" s="47" t="s">
        <v>2</v>
      </c>
      <c r="D11" s="47" t="s">
        <v>3</v>
      </c>
      <c r="E11" s="47" t="s">
        <v>4</v>
      </c>
      <c r="F11" s="47" t="s">
        <v>5</v>
      </c>
      <c r="G11" s="43"/>
      <c r="H11" s="22"/>
      <c r="I11" s="31"/>
      <c r="J11" s="11"/>
      <c r="K11" s="48"/>
      <c r="L11" s="48"/>
      <c r="M11" s="49"/>
      <c r="N11" s="49"/>
      <c r="Q11" s="12"/>
      <c r="R11" s="34"/>
      <c r="S11" s="34"/>
      <c r="T11" s="34"/>
      <c r="U11" s="34"/>
      <c r="V11" s="34"/>
      <c r="W11" s="34"/>
      <c r="X11" s="34"/>
      <c r="Y11" s="34"/>
      <c r="Z11" s="34"/>
    </row>
    <row r="12" ht="39.75" customHeight="1">
      <c r="A12" s="50"/>
      <c r="B12" s="51" t="s">
        <v>10</v>
      </c>
      <c r="C12" s="52">
        <v>45955.0</v>
      </c>
      <c r="D12" s="52">
        <v>45966.0</v>
      </c>
      <c r="E12" s="53">
        <v>10.0</v>
      </c>
      <c r="F12" s="54">
        <v>207.5</v>
      </c>
      <c r="G12" s="43"/>
      <c r="H12" s="55"/>
      <c r="I12" s="31"/>
      <c r="J12" s="11"/>
      <c r="K12" s="48"/>
      <c r="L12" s="48"/>
      <c r="M12" s="22"/>
      <c r="N12" s="23"/>
      <c r="Q12" s="12"/>
      <c r="R12" s="34"/>
      <c r="S12" s="34"/>
      <c r="T12" s="34"/>
      <c r="U12" s="34"/>
      <c r="V12" s="34"/>
      <c r="W12" s="34"/>
      <c r="X12" s="34"/>
      <c r="Y12" s="34"/>
      <c r="Z12" s="34"/>
    </row>
    <row r="13" ht="33.75" customHeight="1">
      <c r="A13" s="40"/>
      <c r="B13" s="56" t="s">
        <v>11</v>
      </c>
      <c r="C13" s="57">
        <v>45955.0</v>
      </c>
      <c r="D13" s="57">
        <v>45966.0</v>
      </c>
      <c r="E13" s="58">
        <v>5.0</v>
      </c>
      <c r="F13" s="59">
        <v>103.75</v>
      </c>
      <c r="G13" s="43"/>
      <c r="H13" s="22"/>
      <c r="I13" s="31"/>
      <c r="J13" s="11"/>
      <c r="K13" s="44"/>
      <c r="L13" s="44"/>
      <c r="M13" s="22"/>
      <c r="N13" s="23"/>
    </row>
    <row r="14" ht="36.75" customHeight="1">
      <c r="A14" s="40"/>
      <c r="B14" s="51" t="s">
        <v>12</v>
      </c>
      <c r="C14" s="52">
        <v>45955.0</v>
      </c>
      <c r="D14" s="52">
        <v>45966.0</v>
      </c>
      <c r="E14" s="53">
        <v>5.0</v>
      </c>
      <c r="F14" s="54">
        <v>103.75</v>
      </c>
      <c r="G14" s="43"/>
      <c r="H14" s="22"/>
      <c r="I14" s="31"/>
      <c r="J14" s="11"/>
      <c r="K14" s="44"/>
      <c r="L14" s="44"/>
      <c r="M14" s="32"/>
      <c r="N14" s="23"/>
      <c r="O14" s="31"/>
    </row>
    <row r="15" ht="35.25" customHeight="1">
      <c r="A15" s="40"/>
      <c r="B15" s="60"/>
      <c r="C15" s="42"/>
      <c r="D15" s="41" t="s">
        <v>8</v>
      </c>
      <c r="E15" s="61">
        <v>20.0</v>
      </c>
      <c r="F15" s="62">
        <v>415.0</v>
      </c>
      <c r="G15" s="43"/>
      <c r="H15" s="22"/>
      <c r="I15" s="31"/>
      <c r="J15" s="11"/>
      <c r="K15" s="44"/>
      <c r="L15" s="44"/>
      <c r="M15" s="11"/>
      <c r="N15" s="11"/>
      <c r="O15" s="11"/>
    </row>
    <row r="16" ht="33.75" customHeight="1">
      <c r="A16" s="40"/>
      <c r="G16" s="43"/>
      <c r="H16" s="63"/>
      <c r="I16" s="31"/>
      <c r="J16" s="11"/>
      <c r="K16" s="44"/>
      <c r="L16" s="44"/>
      <c r="M16" s="45"/>
      <c r="N16" s="45"/>
      <c r="O16" s="45"/>
    </row>
    <row r="17" ht="39.0" customHeight="1">
      <c r="A17" s="40"/>
      <c r="B17" s="64" t="s">
        <v>13</v>
      </c>
      <c r="C17" s="65"/>
      <c r="D17" s="65"/>
      <c r="E17" s="65"/>
      <c r="F17" s="65"/>
      <c r="G17" s="66"/>
      <c r="H17" s="22"/>
      <c r="I17" s="67"/>
      <c r="J17" s="11"/>
      <c r="K17" s="44"/>
      <c r="L17" s="44"/>
      <c r="M17" s="49"/>
      <c r="N17" s="49"/>
      <c r="O17" s="49"/>
    </row>
    <row r="18" ht="36.0" customHeight="1">
      <c r="A18" s="40"/>
      <c r="B18" s="68" t="s">
        <v>1</v>
      </c>
      <c r="C18" s="68" t="s">
        <v>2</v>
      </c>
      <c r="D18" s="68" t="s">
        <v>3</v>
      </c>
      <c r="E18" s="68" t="s">
        <v>4</v>
      </c>
      <c r="F18" s="68" t="s">
        <v>5</v>
      </c>
      <c r="G18" s="43"/>
      <c r="H18" s="22"/>
      <c r="I18" s="24"/>
      <c r="J18" s="11"/>
      <c r="K18" s="44"/>
      <c r="L18" s="44"/>
      <c r="M18" s="22"/>
      <c r="N18" s="23"/>
      <c r="O18" s="31"/>
    </row>
    <row r="19" ht="36.75" customHeight="1">
      <c r="A19" s="40"/>
      <c r="B19" s="69" t="s">
        <v>14</v>
      </c>
      <c r="C19" s="70">
        <v>45951.0</v>
      </c>
      <c r="D19" s="70">
        <v>45969.0</v>
      </c>
      <c r="E19" s="69">
        <v>6.0</v>
      </c>
      <c r="F19" s="71">
        <v>124.0</v>
      </c>
      <c r="G19" s="43"/>
      <c r="H19" s="72"/>
      <c r="I19" s="67"/>
      <c r="J19" s="11"/>
      <c r="K19" s="48"/>
      <c r="L19" s="48"/>
      <c r="M19" s="22"/>
      <c r="N19" s="23"/>
      <c r="O19" s="31"/>
    </row>
    <row r="20" ht="39.0" customHeight="1">
      <c r="A20" s="40"/>
      <c r="B20" s="73" t="s">
        <v>15</v>
      </c>
      <c r="C20" s="74">
        <v>45951.0</v>
      </c>
      <c r="D20" s="74">
        <v>45969.0</v>
      </c>
      <c r="E20" s="73">
        <v>6.0</v>
      </c>
      <c r="F20" s="75">
        <v>124.0</v>
      </c>
      <c r="G20" s="43"/>
      <c r="H20" s="22"/>
      <c r="I20" s="76"/>
      <c r="J20" s="11"/>
      <c r="K20" s="44"/>
      <c r="L20" s="44"/>
      <c r="M20" s="72"/>
      <c r="N20" s="23"/>
      <c r="O20" s="31"/>
    </row>
    <row r="21" ht="36.0" customHeight="1">
      <c r="A21" s="40"/>
      <c r="B21" s="69" t="s">
        <v>16</v>
      </c>
      <c r="C21" s="70">
        <v>45951.0</v>
      </c>
      <c r="D21" s="70">
        <v>45969.0</v>
      </c>
      <c r="E21" s="69">
        <v>3.0</v>
      </c>
      <c r="F21" s="71">
        <v>62.0</v>
      </c>
      <c r="G21" s="43"/>
      <c r="H21" s="22"/>
      <c r="I21" s="67"/>
      <c r="J21" s="11"/>
      <c r="K21" s="44"/>
      <c r="L21" s="44"/>
      <c r="M21" s="63"/>
      <c r="N21" s="77"/>
      <c r="O21" s="31"/>
    </row>
    <row r="22" ht="36.75" customHeight="1">
      <c r="A22" s="40"/>
      <c r="B22" s="73" t="s">
        <v>17</v>
      </c>
      <c r="C22" s="78">
        <v>45951.0</v>
      </c>
      <c r="D22" s="74">
        <v>45969.0</v>
      </c>
      <c r="E22" s="73">
        <v>3.0</v>
      </c>
      <c r="F22" s="75">
        <v>62.0</v>
      </c>
      <c r="G22" s="43"/>
      <c r="H22" s="22"/>
      <c r="I22" s="31"/>
      <c r="J22" s="11"/>
      <c r="K22" s="44"/>
      <c r="L22" s="44"/>
      <c r="M22" s="32"/>
      <c r="N22" s="77"/>
      <c r="O22" s="31"/>
    </row>
    <row r="23" ht="32.25" customHeight="1">
      <c r="A23" s="40"/>
      <c r="B23" s="79"/>
      <c r="C23" s="43"/>
      <c r="D23" s="80" t="s">
        <v>8</v>
      </c>
      <c r="E23" s="81">
        <v>18.0</v>
      </c>
      <c r="F23" s="62">
        <v>372.0</v>
      </c>
      <c r="G23" s="43"/>
      <c r="H23" s="22"/>
      <c r="I23" s="67"/>
      <c r="J23" s="11"/>
      <c r="K23" s="44"/>
      <c r="L23" s="44"/>
      <c r="M23" s="11"/>
      <c r="N23" s="11"/>
      <c r="O23" s="11"/>
    </row>
    <row r="24" ht="36.0" customHeight="1">
      <c r="A24" s="40"/>
      <c r="B24" s="64" t="s">
        <v>18</v>
      </c>
      <c r="C24" s="65"/>
      <c r="D24" s="65"/>
      <c r="E24" s="65"/>
      <c r="F24" s="65"/>
      <c r="G24" s="43"/>
      <c r="H24" s="22"/>
      <c r="I24" s="67"/>
      <c r="J24" s="11"/>
      <c r="K24" s="44"/>
      <c r="L24" s="44"/>
      <c r="M24" s="45"/>
      <c r="N24" s="45"/>
      <c r="O24" s="45"/>
    </row>
    <row r="25" ht="33.0" customHeight="1">
      <c r="A25" s="40"/>
      <c r="B25" s="68" t="s">
        <v>1</v>
      </c>
      <c r="C25" s="68" t="s">
        <v>2</v>
      </c>
      <c r="D25" s="68" t="s">
        <v>3</v>
      </c>
      <c r="E25" s="68" t="s">
        <v>4</v>
      </c>
      <c r="F25" s="68" t="s">
        <v>5</v>
      </c>
      <c r="G25" s="43"/>
      <c r="H25" s="22"/>
      <c r="I25" s="31"/>
      <c r="J25" s="11"/>
      <c r="K25" s="44"/>
      <c r="L25" s="44"/>
      <c r="M25" s="49"/>
      <c r="N25" s="49"/>
      <c r="O25" s="49"/>
    </row>
    <row r="26" ht="34.5" customHeight="1">
      <c r="A26" s="40"/>
      <c r="B26" s="69" t="s">
        <v>19</v>
      </c>
      <c r="C26" s="70">
        <v>45958.0</v>
      </c>
      <c r="D26" s="70">
        <v>45968.0</v>
      </c>
      <c r="E26" s="69">
        <v>8.0</v>
      </c>
      <c r="F26" s="71">
        <v>166.0</v>
      </c>
      <c r="G26" s="43"/>
      <c r="H26" s="72"/>
      <c r="I26" s="31"/>
      <c r="J26" s="11"/>
      <c r="K26" s="44"/>
      <c r="L26" s="44"/>
      <c r="M26" s="22"/>
      <c r="N26" s="82"/>
      <c r="O26" s="83"/>
    </row>
    <row r="27" ht="39.75" customHeight="1">
      <c r="A27" s="40"/>
      <c r="B27" s="73" t="s">
        <v>20</v>
      </c>
      <c r="C27" s="74">
        <v>45991.0</v>
      </c>
      <c r="D27" s="74">
        <v>46001.0</v>
      </c>
      <c r="E27" s="73">
        <v>4.0</v>
      </c>
      <c r="F27" s="75">
        <v>83.0</v>
      </c>
      <c r="G27" s="43"/>
      <c r="H27" s="72"/>
      <c r="I27" s="31"/>
      <c r="J27" s="11"/>
      <c r="K27" s="44"/>
      <c r="L27" s="44"/>
      <c r="M27" s="22"/>
      <c r="N27" s="82"/>
      <c r="O27" s="83"/>
    </row>
    <row r="28" ht="38.25" customHeight="1">
      <c r="A28" s="40"/>
      <c r="B28" s="23"/>
      <c r="C28" s="22"/>
      <c r="D28" s="32" t="s">
        <v>8</v>
      </c>
      <c r="E28" s="23">
        <v>12.0</v>
      </c>
      <c r="F28" s="62">
        <v>249.0</v>
      </c>
      <c r="G28" s="43"/>
      <c r="H28" s="22"/>
      <c r="I28" s="23"/>
      <c r="J28" s="24"/>
      <c r="K28" s="44"/>
      <c r="L28" s="44"/>
      <c r="M28" s="22"/>
      <c r="N28" s="82"/>
      <c r="O28" s="83"/>
    </row>
    <row r="29" ht="36.75" customHeight="1">
      <c r="A29" s="40"/>
      <c r="B29" s="23"/>
      <c r="C29" s="45"/>
      <c r="D29" s="23"/>
      <c r="E29" s="23"/>
      <c r="F29" s="24"/>
      <c r="G29" s="43"/>
      <c r="H29" s="11"/>
      <c r="I29" s="11"/>
      <c r="J29" s="11"/>
      <c r="K29" s="44"/>
      <c r="L29" s="44"/>
      <c r="M29" s="32"/>
      <c r="N29" s="77"/>
      <c r="O29" s="76"/>
    </row>
    <row r="30">
      <c r="B30" s="64" t="s">
        <v>21</v>
      </c>
      <c r="C30" s="65"/>
      <c r="D30" s="65"/>
      <c r="E30" s="65"/>
      <c r="F30" s="65"/>
      <c r="H30" s="11"/>
      <c r="I30" s="11"/>
      <c r="J30" s="11"/>
      <c r="M30" s="32"/>
      <c r="N30" s="11"/>
      <c r="O30" s="11"/>
    </row>
    <row r="31">
      <c r="B31" s="68" t="s">
        <v>1</v>
      </c>
      <c r="C31" s="68" t="s">
        <v>2</v>
      </c>
      <c r="D31" s="68" t="s">
        <v>3</v>
      </c>
      <c r="E31" s="68" t="s">
        <v>4</v>
      </c>
      <c r="F31" s="68" t="s">
        <v>5</v>
      </c>
      <c r="H31" s="11"/>
      <c r="I31" s="11"/>
      <c r="J31" s="11"/>
      <c r="M31" s="45"/>
      <c r="N31" s="45"/>
      <c r="O31" s="45"/>
    </row>
    <row r="32">
      <c r="B32" s="69" t="s">
        <v>22</v>
      </c>
      <c r="C32" s="70">
        <v>45946.0</v>
      </c>
      <c r="D32" s="70">
        <v>45946.0</v>
      </c>
      <c r="E32" s="69">
        <v>5.0</v>
      </c>
      <c r="F32" s="71">
        <v>103.0</v>
      </c>
      <c r="H32" s="11"/>
      <c r="I32" s="11"/>
      <c r="J32" s="11"/>
      <c r="M32" s="49"/>
      <c r="N32" s="49"/>
      <c r="O32" s="49"/>
    </row>
    <row r="33">
      <c r="B33" s="73" t="s">
        <v>23</v>
      </c>
      <c r="C33" s="74">
        <v>45938.0</v>
      </c>
      <c r="D33" s="74">
        <v>45938.0</v>
      </c>
      <c r="E33" s="73">
        <v>5.0</v>
      </c>
      <c r="F33" s="75">
        <v>103.0</v>
      </c>
      <c r="H33" s="11"/>
      <c r="I33" s="11"/>
      <c r="J33" s="11"/>
      <c r="M33" s="22"/>
      <c r="N33" s="23"/>
      <c r="O33" s="24"/>
    </row>
    <row r="34">
      <c r="B34" s="23"/>
      <c r="C34" s="22"/>
      <c r="D34" s="32" t="s">
        <v>8</v>
      </c>
      <c r="E34" s="23">
        <v>10.0</v>
      </c>
      <c r="F34" s="62">
        <v>206.0</v>
      </c>
      <c r="H34" s="84"/>
      <c r="I34" s="84"/>
      <c r="J34" s="84"/>
      <c r="M34" s="22"/>
      <c r="N34" s="23"/>
      <c r="O34" s="24"/>
    </row>
    <row r="35">
      <c r="H35" s="85"/>
      <c r="I35" s="86"/>
      <c r="J35" s="87"/>
      <c r="M35" s="22"/>
      <c r="N35" s="23"/>
      <c r="O35" s="24"/>
    </row>
    <row r="36">
      <c r="B36" s="64" t="s">
        <v>24</v>
      </c>
      <c r="C36" s="65"/>
      <c r="D36" s="65"/>
      <c r="E36" s="65"/>
      <c r="F36" s="65"/>
      <c r="H36" s="85"/>
      <c r="I36" s="86"/>
      <c r="J36" s="87"/>
      <c r="M36" s="22"/>
      <c r="N36" s="77"/>
      <c r="O36" s="31"/>
    </row>
    <row r="37">
      <c r="B37" s="68" t="s">
        <v>1</v>
      </c>
      <c r="C37" s="68" t="s">
        <v>2</v>
      </c>
      <c r="D37" s="68" t="s">
        <v>3</v>
      </c>
      <c r="E37" s="68" t="s">
        <v>4</v>
      </c>
      <c r="F37" s="68" t="s">
        <v>5</v>
      </c>
      <c r="H37" s="85"/>
      <c r="I37" s="86"/>
      <c r="J37" s="87"/>
      <c r="M37" s="32"/>
      <c r="N37" s="77"/>
      <c r="O37" s="31"/>
    </row>
    <row r="38">
      <c r="B38" s="69" t="s">
        <v>25</v>
      </c>
      <c r="C38" s="70">
        <v>45943.0</v>
      </c>
      <c r="D38" s="70">
        <v>45961.0</v>
      </c>
      <c r="E38" s="69">
        <v>11.0</v>
      </c>
      <c r="F38" s="71">
        <v>222.5</v>
      </c>
      <c r="H38" s="88"/>
      <c r="I38" s="33"/>
      <c r="J38" s="87"/>
      <c r="M38" s="11"/>
      <c r="N38" s="11"/>
      <c r="O38" s="11"/>
    </row>
    <row r="39">
      <c r="B39" s="73" t="s">
        <v>26</v>
      </c>
      <c r="C39" s="74">
        <v>45964.0</v>
      </c>
      <c r="D39" s="74">
        <v>45964.0</v>
      </c>
      <c r="E39" s="73">
        <v>4.0</v>
      </c>
      <c r="F39" s="75">
        <v>82.0</v>
      </c>
      <c r="H39" s="85"/>
      <c r="I39" s="89"/>
      <c r="J39" s="87"/>
      <c r="M39" s="45"/>
      <c r="N39" s="45"/>
      <c r="O39" s="45"/>
    </row>
    <row r="40">
      <c r="B40" s="23"/>
      <c r="C40" s="22"/>
      <c r="D40" s="32" t="s">
        <v>8</v>
      </c>
      <c r="E40" s="23">
        <v>15.0</v>
      </c>
      <c r="F40" s="62">
        <v>307.5</v>
      </c>
      <c r="H40" s="85"/>
      <c r="I40" s="89"/>
      <c r="J40" s="87"/>
      <c r="M40" s="49"/>
      <c r="N40" s="49"/>
      <c r="O40" s="49"/>
    </row>
    <row r="41">
      <c r="E41" s="90"/>
      <c r="F41" s="90"/>
      <c r="H41" s="85"/>
      <c r="I41" s="89"/>
      <c r="J41" s="87"/>
      <c r="M41" s="22"/>
      <c r="N41" s="23"/>
      <c r="O41" s="24"/>
    </row>
    <row r="42">
      <c r="B42" s="64" t="s">
        <v>27</v>
      </c>
      <c r="C42" s="65"/>
      <c r="D42" s="65"/>
      <c r="E42" s="65"/>
      <c r="F42" s="65"/>
      <c r="H42" s="85"/>
      <c r="I42" s="89"/>
      <c r="J42" s="87"/>
      <c r="M42" s="22"/>
      <c r="N42" s="23"/>
      <c r="O42" s="24"/>
    </row>
    <row r="43">
      <c r="B43" s="68" t="s">
        <v>1</v>
      </c>
      <c r="C43" s="68" t="s">
        <v>2</v>
      </c>
      <c r="D43" s="68" t="s">
        <v>3</v>
      </c>
      <c r="E43" s="68" t="s">
        <v>4</v>
      </c>
      <c r="F43" s="68" t="s">
        <v>5</v>
      </c>
      <c r="H43" s="85"/>
      <c r="I43" s="89"/>
      <c r="J43" s="87"/>
      <c r="M43" s="72"/>
      <c r="N43" s="23"/>
      <c r="O43" s="24"/>
    </row>
    <row r="44">
      <c r="B44" s="69" t="s">
        <v>28</v>
      </c>
      <c r="C44" s="70">
        <v>45944.0</v>
      </c>
      <c r="D44" s="70">
        <v>45944.0</v>
      </c>
      <c r="E44" s="69">
        <v>4.0</v>
      </c>
      <c r="F44" s="71">
        <v>82.4</v>
      </c>
      <c r="M44" s="32"/>
      <c r="N44" s="77"/>
      <c r="O44" s="31"/>
    </row>
    <row r="45">
      <c r="B45" s="73" t="s">
        <v>29</v>
      </c>
      <c r="C45" s="74">
        <v>45945.0</v>
      </c>
      <c r="D45" s="74">
        <v>45945.0</v>
      </c>
      <c r="E45" s="73">
        <v>4.0</v>
      </c>
      <c r="F45" s="75">
        <v>82.4</v>
      </c>
      <c r="M45" s="32"/>
      <c r="N45" s="11"/>
      <c r="O45" s="11"/>
    </row>
    <row r="46">
      <c r="B46" s="69" t="s">
        <v>30</v>
      </c>
      <c r="C46" s="70">
        <v>45946.0</v>
      </c>
      <c r="D46" s="70">
        <v>45946.0</v>
      </c>
      <c r="E46" s="69">
        <v>2.0</v>
      </c>
      <c r="F46" s="71">
        <v>41.2</v>
      </c>
      <c r="M46" s="45"/>
      <c r="N46" s="45"/>
      <c r="O46" s="45"/>
    </row>
    <row r="47">
      <c r="D47" s="32" t="s">
        <v>8</v>
      </c>
      <c r="E47" s="91">
        <v>10.0</v>
      </c>
      <c r="F47" s="62">
        <v>206.0</v>
      </c>
      <c r="M47" s="49"/>
      <c r="N47" s="49"/>
      <c r="O47" s="49"/>
    </row>
    <row r="48">
      <c r="M48" s="22"/>
      <c r="N48" s="23"/>
      <c r="O48" s="24"/>
    </row>
    <row r="49">
      <c r="M49" s="22"/>
      <c r="N49" s="23"/>
      <c r="O49" s="24"/>
    </row>
    <row r="50">
      <c r="B50" s="64" t="s">
        <v>31</v>
      </c>
      <c r="C50" s="65"/>
      <c r="D50" s="65"/>
      <c r="E50" s="65"/>
      <c r="F50" s="65"/>
      <c r="M50" s="72"/>
      <c r="N50" s="23"/>
      <c r="O50" s="24"/>
    </row>
    <row r="51">
      <c r="B51" s="68" t="s">
        <v>1</v>
      </c>
      <c r="C51" s="68" t="s">
        <v>2</v>
      </c>
      <c r="D51" s="68" t="s">
        <v>3</v>
      </c>
      <c r="E51" s="68" t="s">
        <v>4</v>
      </c>
      <c r="F51" s="68" t="s">
        <v>5</v>
      </c>
      <c r="M51" s="32"/>
      <c r="N51" s="77"/>
      <c r="O51" s="62"/>
    </row>
    <row r="52">
      <c r="B52" s="69" t="s">
        <v>32</v>
      </c>
      <c r="C52" s="70">
        <v>45946.0</v>
      </c>
      <c r="D52" s="70">
        <v>45946.0</v>
      </c>
      <c r="E52" s="69">
        <v>10.0</v>
      </c>
      <c r="F52" s="71">
        <v>177.52</v>
      </c>
    </row>
    <row r="53">
      <c r="B53" s="23"/>
      <c r="C53" s="22"/>
      <c r="D53" s="32" t="s">
        <v>8</v>
      </c>
      <c r="E53" s="23">
        <v>10.0</v>
      </c>
      <c r="F53" s="62">
        <v>177.52</v>
      </c>
    </row>
    <row r="54">
      <c r="D54" s="32"/>
      <c r="E54" s="90"/>
      <c r="F54" s="90"/>
    </row>
    <row r="55">
      <c r="E55" s="90"/>
      <c r="F55" s="90"/>
    </row>
    <row r="56">
      <c r="B56" s="64" t="s">
        <v>33</v>
      </c>
      <c r="C56" s="65"/>
      <c r="D56" s="65"/>
      <c r="E56" s="65"/>
      <c r="F56" s="65"/>
    </row>
    <row r="57">
      <c r="B57" s="68" t="s">
        <v>1</v>
      </c>
      <c r="C57" s="68" t="s">
        <v>2</v>
      </c>
      <c r="D57" s="68" t="s">
        <v>3</v>
      </c>
      <c r="E57" s="68" t="s">
        <v>4</v>
      </c>
      <c r="F57" s="68" t="s">
        <v>5</v>
      </c>
    </row>
    <row r="58">
      <c r="B58" s="69" t="s">
        <v>34</v>
      </c>
      <c r="C58" s="70">
        <v>45946.0</v>
      </c>
      <c r="D58" s="70">
        <v>45946.0</v>
      </c>
      <c r="E58" s="69">
        <v>2.5</v>
      </c>
      <c r="F58" s="71">
        <v>44.38</v>
      </c>
    </row>
    <row r="59">
      <c r="B59" s="73" t="s">
        <v>35</v>
      </c>
      <c r="C59" s="74">
        <v>45946.0</v>
      </c>
      <c r="D59" s="74">
        <v>45946.0</v>
      </c>
      <c r="E59" s="73">
        <v>2.5</v>
      </c>
      <c r="F59" s="75">
        <v>44.38</v>
      </c>
    </row>
    <row r="60">
      <c r="B60" s="23"/>
      <c r="C60" s="22"/>
      <c r="D60" s="32" t="s">
        <v>8</v>
      </c>
      <c r="E60" s="23">
        <v>5.0</v>
      </c>
      <c r="F60" s="62">
        <v>88.76</v>
      </c>
    </row>
    <row r="61">
      <c r="E61" s="90"/>
      <c r="F61" s="90"/>
    </row>
    <row r="62">
      <c r="E62" s="90"/>
      <c r="F62" s="90"/>
    </row>
    <row r="63">
      <c r="B63" s="64" t="s">
        <v>36</v>
      </c>
      <c r="C63" s="65"/>
      <c r="D63" s="65"/>
      <c r="E63" s="65"/>
      <c r="F63" s="65"/>
    </row>
    <row r="64">
      <c r="B64" s="68" t="s">
        <v>1</v>
      </c>
      <c r="C64" s="68" t="s">
        <v>2</v>
      </c>
      <c r="D64" s="68" t="s">
        <v>3</v>
      </c>
      <c r="E64" s="68" t="s">
        <v>4</v>
      </c>
      <c r="F64" s="68" t="s">
        <v>5</v>
      </c>
    </row>
    <row r="65">
      <c r="B65" s="69" t="s">
        <v>37</v>
      </c>
      <c r="C65" s="70">
        <v>45952.0</v>
      </c>
      <c r="D65" s="70">
        <v>45961.0</v>
      </c>
      <c r="E65" s="69">
        <v>26.0</v>
      </c>
      <c r="F65" s="71">
        <v>535.6</v>
      </c>
    </row>
    <row r="66">
      <c r="B66" s="73" t="s">
        <v>38</v>
      </c>
      <c r="C66" s="74">
        <v>45963.0</v>
      </c>
      <c r="D66" s="74">
        <v>45963.0</v>
      </c>
      <c r="E66" s="73">
        <v>4.0</v>
      </c>
      <c r="F66" s="75">
        <v>82.4</v>
      </c>
    </row>
    <row r="67">
      <c r="B67" s="23"/>
      <c r="C67" s="22"/>
      <c r="D67" s="32" t="s">
        <v>8</v>
      </c>
      <c r="E67" s="23">
        <v>30.0</v>
      </c>
      <c r="F67" s="62">
        <v>618.0</v>
      </c>
    </row>
    <row r="70">
      <c r="B70" s="64" t="s">
        <v>39</v>
      </c>
      <c r="C70" s="65"/>
      <c r="D70" s="65"/>
      <c r="E70" s="65"/>
      <c r="F70" s="65"/>
    </row>
    <row r="71">
      <c r="B71" s="68" t="s">
        <v>1</v>
      </c>
      <c r="C71" s="68" t="s">
        <v>2</v>
      </c>
      <c r="D71" s="68" t="s">
        <v>3</v>
      </c>
      <c r="E71" s="68" t="s">
        <v>4</v>
      </c>
      <c r="F71" s="68" t="s">
        <v>5</v>
      </c>
    </row>
    <row r="72">
      <c r="B72" s="69" t="s">
        <v>40</v>
      </c>
      <c r="C72" s="70">
        <v>45966.0</v>
      </c>
      <c r="D72" s="70">
        <v>45981.0</v>
      </c>
      <c r="E72" s="69">
        <v>15.0</v>
      </c>
      <c r="F72" s="71">
        <v>309.64</v>
      </c>
    </row>
    <row r="73">
      <c r="B73" s="73" t="s">
        <v>41</v>
      </c>
      <c r="C73" s="74">
        <v>45973.0</v>
      </c>
      <c r="D73" s="74">
        <v>45988.0</v>
      </c>
      <c r="E73" s="73">
        <v>15.0</v>
      </c>
      <c r="F73" s="75">
        <v>309.64</v>
      </c>
    </row>
    <row r="74">
      <c r="B74" s="69" t="s">
        <v>42</v>
      </c>
      <c r="C74" s="70">
        <v>45988.0</v>
      </c>
      <c r="D74" s="92">
        <v>45988.0</v>
      </c>
      <c r="E74" s="69">
        <v>5.0</v>
      </c>
      <c r="F74" s="71">
        <v>103.22</v>
      </c>
    </row>
    <row r="75">
      <c r="D75" s="32" t="s">
        <v>8</v>
      </c>
      <c r="E75" s="93">
        <v>35.0</v>
      </c>
      <c r="F75" s="94">
        <v>722.5</v>
      </c>
    </row>
    <row r="78">
      <c r="B78" s="64" t="s">
        <v>43</v>
      </c>
      <c r="C78" s="65"/>
      <c r="D78" s="65"/>
      <c r="E78" s="65"/>
      <c r="F78" s="65"/>
    </row>
    <row r="79">
      <c r="B79" s="68" t="s">
        <v>1</v>
      </c>
      <c r="C79" s="68" t="s">
        <v>2</v>
      </c>
      <c r="D79" s="68" t="s">
        <v>3</v>
      </c>
      <c r="E79" s="68" t="s">
        <v>4</v>
      </c>
      <c r="F79" s="68" t="s">
        <v>5</v>
      </c>
    </row>
    <row r="80">
      <c r="B80" s="69" t="s">
        <v>44</v>
      </c>
      <c r="C80" s="70">
        <v>45971.0</v>
      </c>
      <c r="D80" s="70">
        <v>45972.0</v>
      </c>
      <c r="E80" s="69">
        <v>10.0</v>
      </c>
      <c r="F80" s="71">
        <v>206.0</v>
      </c>
    </row>
    <row r="81">
      <c r="B81" s="73" t="s">
        <v>45</v>
      </c>
      <c r="C81" s="74">
        <v>45971.0</v>
      </c>
      <c r="D81" s="74">
        <v>45999.0</v>
      </c>
      <c r="E81" s="73">
        <v>10.0</v>
      </c>
      <c r="F81" s="75">
        <v>206.0</v>
      </c>
    </row>
    <row r="82">
      <c r="B82" s="23"/>
      <c r="C82" s="22"/>
      <c r="D82" s="32" t="s">
        <v>8</v>
      </c>
      <c r="E82" s="23">
        <v>20.0</v>
      </c>
      <c r="F82" s="94">
        <v>412.0</v>
      </c>
    </row>
    <row r="83">
      <c r="D83" s="32"/>
    </row>
    <row r="85">
      <c r="B85" s="64" t="s">
        <v>46</v>
      </c>
      <c r="C85" s="65"/>
      <c r="D85" s="65"/>
      <c r="E85" s="65"/>
      <c r="F85" s="65"/>
    </row>
    <row r="86">
      <c r="B86" s="68" t="s">
        <v>1</v>
      </c>
      <c r="C86" s="68" t="s">
        <v>2</v>
      </c>
      <c r="D86" s="68" t="s">
        <v>3</v>
      </c>
      <c r="E86" s="68" t="s">
        <v>4</v>
      </c>
      <c r="F86" s="68" t="s">
        <v>5</v>
      </c>
    </row>
    <row r="87">
      <c r="B87" s="69" t="s">
        <v>47</v>
      </c>
      <c r="C87" s="70">
        <v>46002.0</v>
      </c>
      <c r="D87" s="70">
        <v>46004.0</v>
      </c>
      <c r="E87" s="69">
        <v>15.0</v>
      </c>
      <c r="F87" s="71">
        <v>309.0</v>
      </c>
    </row>
    <row r="88">
      <c r="B88" s="73" t="s">
        <v>48</v>
      </c>
      <c r="C88" s="74">
        <v>46002.0</v>
      </c>
      <c r="D88" s="74">
        <v>46004.0</v>
      </c>
      <c r="E88" s="73">
        <v>15.0</v>
      </c>
      <c r="F88" s="75">
        <v>309.0</v>
      </c>
    </row>
    <row r="89">
      <c r="B89" s="23"/>
      <c r="C89" s="22"/>
      <c r="D89" s="32" t="s">
        <v>8</v>
      </c>
      <c r="E89" s="23">
        <v>30.0</v>
      </c>
      <c r="F89" s="94">
        <v>618.0</v>
      </c>
    </row>
    <row r="91">
      <c r="B91" s="64" t="s">
        <v>49</v>
      </c>
      <c r="C91" s="65"/>
      <c r="D91" s="65"/>
      <c r="E91" s="65"/>
      <c r="F91" s="65"/>
    </row>
    <row r="92">
      <c r="B92" s="68" t="s">
        <v>1</v>
      </c>
      <c r="C92" s="68" t="s">
        <v>2</v>
      </c>
      <c r="D92" s="68" t="s">
        <v>3</v>
      </c>
      <c r="E92" s="68" t="s">
        <v>4</v>
      </c>
      <c r="F92" s="68" t="s">
        <v>5</v>
      </c>
    </row>
    <row r="93">
      <c r="B93" s="69" t="s">
        <v>50</v>
      </c>
      <c r="C93" s="70">
        <v>45985.0</v>
      </c>
      <c r="D93" s="70">
        <v>45987.0</v>
      </c>
      <c r="E93" s="69">
        <v>20.0</v>
      </c>
      <c r="F93" s="71">
        <v>412.0</v>
      </c>
    </row>
    <row r="94">
      <c r="B94" s="23"/>
      <c r="C94" s="22"/>
      <c r="D94" s="32" t="s">
        <v>8</v>
      </c>
      <c r="E94" s="23">
        <v>20.0</v>
      </c>
      <c r="F94" s="94">
        <v>412.0</v>
      </c>
    </row>
    <row r="97">
      <c r="B97" s="64" t="s">
        <v>51</v>
      </c>
      <c r="C97" s="65"/>
      <c r="D97" s="65"/>
      <c r="E97" s="65"/>
      <c r="F97" s="65"/>
    </row>
    <row r="98">
      <c r="B98" s="68" t="s">
        <v>1</v>
      </c>
      <c r="C98" s="68" t="s">
        <v>2</v>
      </c>
      <c r="D98" s="68" t="s">
        <v>3</v>
      </c>
      <c r="E98" s="68" t="s">
        <v>4</v>
      </c>
      <c r="F98" s="68" t="s">
        <v>5</v>
      </c>
    </row>
    <row r="99">
      <c r="B99" s="69" t="s">
        <v>52</v>
      </c>
      <c r="C99" s="70">
        <v>45966.0</v>
      </c>
      <c r="D99" s="70">
        <v>45970.0</v>
      </c>
      <c r="E99" s="69">
        <v>15.0</v>
      </c>
      <c r="F99" s="71">
        <v>309.0</v>
      </c>
    </row>
    <row r="100">
      <c r="B100" s="73" t="s">
        <v>53</v>
      </c>
      <c r="C100" s="74">
        <v>45950.0</v>
      </c>
      <c r="D100" s="74">
        <v>46004.0</v>
      </c>
      <c r="E100" s="73">
        <v>10.0</v>
      </c>
      <c r="F100" s="75">
        <v>206.0</v>
      </c>
    </row>
    <row r="101">
      <c r="B101" s="23"/>
      <c r="C101" s="22"/>
      <c r="D101" s="32" t="s">
        <v>8</v>
      </c>
      <c r="E101" s="23">
        <v>25.0</v>
      </c>
      <c r="F101" s="62">
        <v>515.0</v>
      </c>
    </row>
    <row r="103">
      <c r="B103" s="64" t="s">
        <v>54</v>
      </c>
      <c r="C103" s="65"/>
      <c r="D103" s="65"/>
      <c r="E103" s="65"/>
      <c r="F103" s="65"/>
    </row>
    <row r="104">
      <c r="B104" s="68" t="s">
        <v>1</v>
      </c>
      <c r="C104" s="68" t="s">
        <v>2</v>
      </c>
      <c r="D104" s="68" t="s">
        <v>3</v>
      </c>
      <c r="E104" s="68" t="s">
        <v>4</v>
      </c>
      <c r="F104" s="68" t="s">
        <v>5</v>
      </c>
    </row>
    <row r="105">
      <c r="B105" s="69" t="s">
        <v>55</v>
      </c>
      <c r="C105" s="70">
        <v>45953.0</v>
      </c>
      <c r="D105" s="70">
        <v>45967.0</v>
      </c>
      <c r="E105" s="69">
        <v>300.0</v>
      </c>
      <c r="F105" s="71">
        <v>5400.0</v>
      </c>
    </row>
    <row r="106">
      <c r="B106" s="73" t="s">
        <v>56</v>
      </c>
      <c r="C106" s="74">
        <v>45967.0</v>
      </c>
      <c r="D106" s="74">
        <v>45974.0</v>
      </c>
      <c r="E106" s="73">
        <v>200.0</v>
      </c>
      <c r="F106" s="75">
        <v>3600.0</v>
      </c>
    </row>
    <row r="107">
      <c r="B107" s="23"/>
      <c r="C107" s="22"/>
      <c r="D107" s="32" t="s">
        <v>8</v>
      </c>
      <c r="E107" s="23">
        <v>500.0</v>
      </c>
      <c r="F107" s="62">
        <v>9000.0</v>
      </c>
    </row>
    <row r="109">
      <c r="B109" s="64" t="s">
        <v>57</v>
      </c>
      <c r="C109" s="65"/>
      <c r="D109" s="65"/>
      <c r="E109" s="65"/>
      <c r="F109" s="65"/>
    </row>
    <row r="110">
      <c r="B110" s="68" t="s">
        <v>1</v>
      </c>
      <c r="C110" s="68" t="s">
        <v>2</v>
      </c>
      <c r="D110" s="68" t="s">
        <v>3</v>
      </c>
      <c r="E110" s="68" t="s">
        <v>4</v>
      </c>
      <c r="F110" s="68" t="s">
        <v>5</v>
      </c>
    </row>
    <row r="111">
      <c r="B111" s="69" t="s">
        <v>58</v>
      </c>
      <c r="C111" s="70">
        <v>45974.0</v>
      </c>
      <c r="D111" s="70">
        <v>45981.0</v>
      </c>
      <c r="E111" s="69">
        <v>75.0</v>
      </c>
      <c r="F111" s="95">
        <v>1328.57</v>
      </c>
    </row>
    <row r="112">
      <c r="B112" s="73" t="s">
        <v>59</v>
      </c>
      <c r="C112" s="74">
        <v>45974.0</v>
      </c>
      <c r="D112" s="74">
        <v>45981.0</v>
      </c>
      <c r="E112" s="73">
        <v>150.0</v>
      </c>
      <c r="F112" s="96">
        <v>2657.15</v>
      </c>
    </row>
    <row r="113">
      <c r="B113" s="69" t="s">
        <v>60</v>
      </c>
      <c r="C113" s="70">
        <v>45974.0</v>
      </c>
      <c r="D113" s="92">
        <v>45981.0</v>
      </c>
      <c r="E113" s="69">
        <v>75.0</v>
      </c>
      <c r="F113" s="95">
        <v>1328.57</v>
      </c>
    </row>
    <row r="114">
      <c r="B114" s="73" t="s">
        <v>61</v>
      </c>
      <c r="C114" s="97">
        <v>45980.0</v>
      </c>
      <c r="D114" s="97">
        <v>45981.0</v>
      </c>
      <c r="E114" s="98">
        <v>50.0</v>
      </c>
      <c r="F114" s="96">
        <v>885.71</v>
      </c>
    </row>
    <row r="115">
      <c r="D115" s="32" t="s">
        <v>8</v>
      </c>
      <c r="E115" s="91">
        <v>350.0</v>
      </c>
      <c r="F115" s="62">
        <v>6200.0</v>
      </c>
    </row>
    <row r="117">
      <c r="B117" s="64" t="s">
        <v>62</v>
      </c>
      <c r="C117" s="65"/>
      <c r="D117" s="65"/>
      <c r="E117" s="65"/>
      <c r="F117" s="65"/>
    </row>
    <row r="118">
      <c r="B118" s="68" t="s">
        <v>1</v>
      </c>
      <c r="C118" s="68" t="s">
        <v>2</v>
      </c>
      <c r="D118" s="68" t="s">
        <v>3</v>
      </c>
      <c r="E118" s="68" t="s">
        <v>4</v>
      </c>
      <c r="F118" s="68" t="s">
        <v>5</v>
      </c>
    </row>
    <row r="119">
      <c r="B119" s="69" t="s">
        <v>63</v>
      </c>
      <c r="C119" s="70">
        <v>45981.0</v>
      </c>
      <c r="D119" s="70">
        <v>45992.0</v>
      </c>
      <c r="E119" s="99">
        <v>50.0</v>
      </c>
      <c r="F119" s="100">
        <v>900.0</v>
      </c>
    </row>
    <row r="120">
      <c r="B120" s="73" t="s">
        <v>60</v>
      </c>
      <c r="C120" s="74">
        <v>45981.0</v>
      </c>
      <c r="D120" s="74">
        <v>45992.0</v>
      </c>
      <c r="E120" s="101">
        <v>50.0</v>
      </c>
      <c r="F120" s="102">
        <v>900.0</v>
      </c>
    </row>
    <row r="121">
      <c r="B121" s="69" t="s">
        <v>64</v>
      </c>
      <c r="C121" s="70">
        <v>45995.0</v>
      </c>
      <c r="D121" s="70">
        <v>45995.0</v>
      </c>
      <c r="E121" s="99">
        <v>50.0</v>
      </c>
      <c r="F121" s="100">
        <v>900.0</v>
      </c>
    </row>
    <row r="122">
      <c r="B122" s="23"/>
      <c r="C122" s="11"/>
      <c r="D122" s="32" t="s">
        <v>8</v>
      </c>
      <c r="E122" s="77">
        <v>150.0</v>
      </c>
      <c r="F122" s="103">
        <v>2700.0</v>
      </c>
    </row>
    <row r="123">
      <c r="D123" s="32"/>
    </row>
    <row r="124">
      <c r="B124" s="64" t="s">
        <v>65</v>
      </c>
      <c r="C124" s="65"/>
      <c r="D124" s="65"/>
      <c r="E124" s="65"/>
      <c r="F124" s="65"/>
    </row>
    <row r="125">
      <c r="B125" s="68" t="s">
        <v>1</v>
      </c>
      <c r="C125" s="68" t="s">
        <v>2</v>
      </c>
      <c r="D125" s="68" t="s">
        <v>3</v>
      </c>
      <c r="E125" s="68" t="s">
        <v>4</v>
      </c>
      <c r="F125" s="68" t="s">
        <v>5</v>
      </c>
    </row>
    <row r="126">
      <c r="B126" s="69" t="s">
        <v>66</v>
      </c>
      <c r="C126" s="70">
        <v>45981.0</v>
      </c>
      <c r="D126" s="70">
        <v>45999.0</v>
      </c>
      <c r="E126" s="69">
        <v>240.0</v>
      </c>
      <c r="F126" s="71">
        <v>4561.87</v>
      </c>
    </row>
    <row r="127">
      <c r="B127" s="73" t="s">
        <v>67</v>
      </c>
      <c r="C127" s="74">
        <v>45981.0</v>
      </c>
      <c r="D127" s="74">
        <v>45999.0</v>
      </c>
      <c r="E127" s="73">
        <v>250.0</v>
      </c>
      <c r="F127" s="75">
        <v>4751.94</v>
      </c>
    </row>
    <row r="128">
      <c r="B128" s="69" t="s">
        <v>68</v>
      </c>
      <c r="C128" s="70">
        <v>45981.0</v>
      </c>
      <c r="D128" s="70">
        <v>45999.0</v>
      </c>
      <c r="E128" s="69">
        <v>30.0</v>
      </c>
      <c r="F128" s="71">
        <v>543.91</v>
      </c>
    </row>
    <row r="129">
      <c r="B129" s="73" t="s">
        <v>69</v>
      </c>
      <c r="C129" s="104">
        <v>46000.0</v>
      </c>
      <c r="D129" s="74">
        <v>46000.0</v>
      </c>
      <c r="E129" s="98">
        <v>100.0</v>
      </c>
      <c r="F129" s="96">
        <v>1927.1</v>
      </c>
    </row>
    <row r="130">
      <c r="D130" s="32" t="s">
        <v>8</v>
      </c>
      <c r="E130" s="91">
        <v>620.0</v>
      </c>
      <c r="F130" s="62">
        <v>11784.82</v>
      </c>
    </row>
    <row r="132">
      <c r="B132" s="64" t="s">
        <v>70</v>
      </c>
      <c r="C132" s="65"/>
      <c r="D132" s="65"/>
      <c r="E132" s="65"/>
      <c r="F132" s="65"/>
    </row>
    <row r="133">
      <c r="B133" s="68" t="s">
        <v>1</v>
      </c>
      <c r="C133" s="68" t="s">
        <v>2</v>
      </c>
      <c r="D133" s="68" t="s">
        <v>3</v>
      </c>
      <c r="E133" s="68" t="s">
        <v>4</v>
      </c>
      <c r="F133" s="68" t="s">
        <v>5</v>
      </c>
    </row>
    <row r="134">
      <c r="B134" s="69" t="s">
        <v>71</v>
      </c>
      <c r="C134" s="70">
        <v>46000.0</v>
      </c>
      <c r="D134" s="70">
        <v>46004.0</v>
      </c>
      <c r="E134" s="69">
        <v>20.0</v>
      </c>
      <c r="F134" s="71">
        <v>400.0</v>
      </c>
    </row>
    <row r="135">
      <c r="B135" s="73" t="s">
        <v>72</v>
      </c>
      <c r="C135" s="74">
        <v>46000.0</v>
      </c>
      <c r="D135" s="74">
        <v>46004.0</v>
      </c>
      <c r="E135" s="73">
        <v>40.0</v>
      </c>
      <c r="F135" s="75">
        <v>800.0</v>
      </c>
    </row>
    <row r="136">
      <c r="B136" s="69" t="s">
        <v>73</v>
      </c>
      <c r="C136" s="70">
        <v>46004.0</v>
      </c>
      <c r="D136" s="92">
        <v>46004.0</v>
      </c>
      <c r="E136" s="69">
        <v>20.0</v>
      </c>
      <c r="F136" s="71">
        <v>400.0</v>
      </c>
    </row>
    <row r="137">
      <c r="B137" s="23"/>
      <c r="C137" s="11"/>
      <c r="D137" s="32" t="s">
        <v>8</v>
      </c>
      <c r="E137" s="77">
        <v>80.0</v>
      </c>
      <c r="F137" s="62">
        <v>1600.0</v>
      </c>
    </row>
    <row r="138">
      <c r="D138" s="32"/>
    </row>
    <row r="139">
      <c r="B139" s="64" t="s">
        <v>74</v>
      </c>
      <c r="C139" s="65"/>
      <c r="D139" s="65"/>
      <c r="E139" s="65"/>
      <c r="F139" s="65"/>
    </row>
    <row r="140">
      <c r="B140" s="68" t="s">
        <v>1</v>
      </c>
      <c r="C140" s="68" t="s">
        <v>2</v>
      </c>
      <c r="D140" s="68" t="s">
        <v>3</v>
      </c>
      <c r="E140" s="68" t="s">
        <v>4</v>
      </c>
      <c r="F140" s="68" t="s">
        <v>5</v>
      </c>
    </row>
    <row r="141">
      <c r="B141" s="69" t="s">
        <v>71</v>
      </c>
      <c r="C141" s="70">
        <v>46006.0</v>
      </c>
      <c r="D141" s="70">
        <v>46006.0</v>
      </c>
      <c r="E141" s="69">
        <v>4.0</v>
      </c>
      <c r="F141" s="71">
        <v>100.0</v>
      </c>
    </row>
    <row r="142">
      <c r="B142" s="73" t="s">
        <v>72</v>
      </c>
      <c r="C142" s="74">
        <v>46006.0</v>
      </c>
      <c r="D142" s="74">
        <v>46006.0</v>
      </c>
      <c r="E142" s="73">
        <v>8.0</v>
      </c>
      <c r="F142" s="75">
        <v>150.0</v>
      </c>
    </row>
    <row r="143">
      <c r="B143" s="69" t="s">
        <v>73</v>
      </c>
      <c r="C143" s="70">
        <v>46006.0</v>
      </c>
      <c r="D143" s="92">
        <v>46006.0</v>
      </c>
      <c r="E143" s="69">
        <v>8.0</v>
      </c>
      <c r="F143" s="71">
        <v>150.0</v>
      </c>
    </row>
    <row r="144">
      <c r="B144" s="23"/>
      <c r="C144" s="11"/>
      <c r="D144" s="32" t="s">
        <v>8</v>
      </c>
      <c r="E144" s="77">
        <v>20.0</v>
      </c>
      <c r="F144" s="62">
        <v>400.0</v>
      </c>
    </row>
  </sheetData>
  <mergeCells count="1">
    <mergeCell ref="F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38"/>
  </cols>
  <sheetData>
    <row r="2" ht="32.25" customHeight="1">
      <c r="A2" s="105" t="s">
        <v>75</v>
      </c>
      <c r="B2" s="105" t="s">
        <v>76</v>
      </c>
      <c r="C2" s="105" t="s">
        <v>77</v>
      </c>
    </row>
    <row r="3" ht="32.25" customHeight="1">
      <c r="A3" s="106" t="s">
        <v>78</v>
      </c>
      <c r="B3" s="107">
        <v>884.28</v>
      </c>
      <c r="C3" s="108">
        <f>SUM(D2,B3)</f>
        <v>884.28</v>
      </c>
    </row>
    <row r="4" ht="32.25" customHeight="1">
      <c r="A4" s="106" t="s">
        <v>79</v>
      </c>
      <c r="B4" s="107">
        <v>18400.5</v>
      </c>
      <c r="C4" s="108">
        <f t="shared" ref="C4:C11" si="1">SUM(C3,B4)</f>
        <v>19284.78</v>
      </c>
    </row>
    <row r="5" ht="32.25" customHeight="1">
      <c r="A5" s="106" t="s">
        <v>80</v>
      </c>
      <c r="B5" s="107">
        <v>18647.82</v>
      </c>
      <c r="C5" s="108">
        <f t="shared" si="1"/>
        <v>37932.6</v>
      </c>
    </row>
    <row r="6" ht="32.25" customHeight="1">
      <c r="A6" s="109" t="s">
        <v>81</v>
      </c>
      <c r="B6" s="110">
        <v>3041.23</v>
      </c>
      <c r="C6" s="108">
        <f t="shared" si="1"/>
        <v>40973.83</v>
      </c>
    </row>
    <row r="7" ht="32.25" customHeight="1">
      <c r="A7" s="106" t="s">
        <v>82</v>
      </c>
      <c r="B7" s="107">
        <v>1480.05</v>
      </c>
      <c r="C7" s="108">
        <f t="shared" si="1"/>
        <v>42453.88</v>
      </c>
    </row>
    <row r="8" ht="32.25" customHeight="1">
      <c r="A8" s="106" t="s">
        <v>83</v>
      </c>
      <c r="B8" s="107">
        <v>15779.88</v>
      </c>
      <c r="C8" s="108">
        <f t="shared" si="1"/>
        <v>58233.76</v>
      </c>
    </row>
    <row r="9" ht="32.25" customHeight="1">
      <c r="A9" s="106" t="s">
        <v>84</v>
      </c>
      <c r="B9" s="107">
        <v>23669.83</v>
      </c>
      <c r="C9" s="108">
        <f t="shared" si="1"/>
        <v>81903.59</v>
      </c>
    </row>
    <row r="10" ht="32.25" customHeight="1">
      <c r="A10" s="106" t="s">
        <v>85</v>
      </c>
      <c r="B10" s="107">
        <v>8326.8</v>
      </c>
      <c r="C10" s="108">
        <f t="shared" si="1"/>
        <v>90230.39</v>
      </c>
    </row>
    <row r="11" ht="32.25" customHeight="1">
      <c r="A11" s="106" t="s">
        <v>86</v>
      </c>
      <c r="B11" s="107">
        <v>1143.73</v>
      </c>
      <c r="C11" s="108">
        <f t="shared" si="1"/>
        <v>91374.12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15.5"/>
  </cols>
  <sheetData>
    <row r="1"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ht="52.5" customHeight="1">
      <c r="B2" s="112" t="s">
        <v>87</v>
      </c>
      <c r="C2" s="113" t="s">
        <v>78</v>
      </c>
      <c r="D2" s="114">
        <v>45788.0</v>
      </c>
      <c r="E2" s="113" t="s">
        <v>80</v>
      </c>
      <c r="F2" s="113" t="s">
        <v>81</v>
      </c>
      <c r="G2" s="113" t="s">
        <v>82</v>
      </c>
      <c r="H2" s="113" t="s">
        <v>83</v>
      </c>
      <c r="I2" s="113" t="s">
        <v>84</v>
      </c>
      <c r="J2" s="113" t="s">
        <v>85</v>
      </c>
      <c r="K2" s="113" t="s">
        <v>86</v>
      </c>
    </row>
    <row r="3" ht="52.5" customHeight="1">
      <c r="B3" s="112" t="s">
        <v>88</v>
      </c>
      <c r="C3" s="115">
        <v>884.28</v>
      </c>
      <c r="D3" s="116">
        <v>18400.5</v>
      </c>
      <c r="E3" s="116">
        <v>18647.82</v>
      </c>
      <c r="F3" s="115">
        <v>3041.23</v>
      </c>
      <c r="G3" s="115">
        <v>1480.05</v>
      </c>
      <c r="H3" s="115">
        <v>15779.88</v>
      </c>
      <c r="I3" s="115">
        <v>23669.83</v>
      </c>
      <c r="J3" s="115">
        <v>8326.8</v>
      </c>
      <c r="K3" s="115">
        <v>1143.73</v>
      </c>
    </row>
    <row r="4" ht="52.5" customHeight="1">
      <c r="B4" s="112" t="s">
        <v>89</v>
      </c>
      <c r="C4" s="117">
        <f>SUM(C3)</f>
        <v>884.28</v>
      </c>
      <c r="D4" s="117">
        <f t="shared" ref="D4:K4" si="1">SUM(C4,D3)</f>
        <v>19284.78</v>
      </c>
      <c r="E4" s="117">
        <f t="shared" si="1"/>
        <v>37932.6</v>
      </c>
      <c r="F4" s="117">
        <f t="shared" si="1"/>
        <v>40973.83</v>
      </c>
      <c r="G4" s="117">
        <f t="shared" si="1"/>
        <v>42453.88</v>
      </c>
      <c r="H4" s="117">
        <f t="shared" si="1"/>
        <v>58233.76</v>
      </c>
      <c r="I4" s="117">
        <f t="shared" si="1"/>
        <v>81903.59</v>
      </c>
      <c r="J4" s="117">
        <f t="shared" si="1"/>
        <v>90230.39</v>
      </c>
      <c r="K4" s="117">
        <f t="shared" si="1"/>
        <v>91374.12</v>
      </c>
    </row>
    <row r="5" ht="52.5" customHeight="1">
      <c r="B5" s="112" t="s">
        <v>90</v>
      </c>
      <c r="C5" s="118">
        <v>15000.0</v>
      </c>
      <c r="D5" s="118">
        <v>15000.0</v>
      </c>
      <c r="E5" s="118">
        <v>15000.0</v>
      </c>
      <c r="F5" s="118">
        <v>15000.0</v>
      </c>
      <c r="G5" s="118">
        <v>15000.0</v>
      </c>
      <c r="H5" s="118">
        <v>15000.0</v>
      </c>
      <c r="I5" s="118">
        <v>15000.0</v>
      </c>
      <c r="J5" s="118">
        <v>15000.0</v>
      </c>
      <c r="K5" s="118">
        <v>15000.0</v>
      </c>
    </row>
    <row r="6" ht="52.5" customHeight="1">
      <c r="B6" s="112" t="s">
        <v>91</v>
      </c>
      <c r="C6" s="118">
        <v>0.0</v>
      </c>
      <c r="D6" s="118">
        <v>0.0</v>
      </c>
      <c r="E6" s="118">
        <v>10000.0</v>
      </c>
      <c r="F6" s="118">
        <v>0.0</v>
      </c>
      <c r="G6" s="118">
        <v>0.0</v>
      </c>
      <c r="H6" s="118">
        <v>0.0</v>
      </c>
      <c r="I6" s="118">
        <v>0.0</v>
      </c>
      <c r="J6" s="118">
        <v>0.0</v>
      </c>
      <c r="K6" s="118">
        <v>10000.0</v>
      </c>
    </row>
    <row r="7" ht="52.5" customHeight="1">
      <c r="B7" s="112" t="s">
        <v>92</v>
      </c>
      <c r="C7" s="117">
        <f>SUM(C5,C6)</f>
        <v>15000</v>
      </c>
      <c r="D7" s="117">
        <f t="shared" ref="D7:K7" si="2">SUM(C7,D5,D6)</f>
        <v>30000</v>
      </c>
      <c r="E7" s="117">
        <f t="shared" si="2"/>
        <v>55000</v>
      </c>
      <c r="F7" s="117">
        <f t="shared" si="2"/>
        <v>70000</v>
      </c>
      <c r="G7" s="117">
        <f t="shared" si="2"/>
        <v>85000</v>
      </c>
      <c r="H7" s="117">
        <f t="shared" si="2"/>
        <v>100000</v>
      </c>
      <c r="I7" s="117">
        <f t="shared" si="2"/>
        <v>115000</v>
      </c>
      <c r="J7" s="117">
        <f t="shared" si="2"/>
        <v>130000</v>
      </c>
      <c r="K7" s="117">
        <f t="shared" si="2"/>
        <v>155000</v>
      </c>
    </row>
    <row r="8" ht="52.5" customHeight="1">
      <c r="B8" s="112" t="s">
        <v>93</v>
      </c>
      <c r="C8" s="117">
        <f t="shared" ref="C8:K8" si="3">MINUS(C7,C4)</f>
        <v>14115.72</v>
      </c>
      <c r="D8" s="117">
        <f t="shared" si="3"/>
        <v>10715.22</v>
      </c>
      <c r="E8" s="117">
        <f t="shared" si="3"/>
        <v>17067.4</v>
      </c>
      <c r="F8" s="117">
        <f t="shared" si="3"/>
        <v>29026.17</v>
      </c>
      <c r="G8" s="117">
        <f t="shared" si="3"/>
        <v>42546.12</v>
      </c>
      <c r="H8" s="117">
        <f t="shared" si="3"/>
        <v>41766.24</v>
      </c>
      <c r="I8" s="117">
        <f t="shared" si="3"/>
        <v>33096.41</v>
      </c>
      <c r="J8" s="117">
        <f t="shared" si="3"/>
        <v>39769.61</v>
      </c>
      <c r="K8" s="117">
        <f t="shared" si="3"/>
        <v>63625.88</v>
      </c>
    </row>
    <row r="9">
      <c r="B9" s="111"/>
      <c r="C9" s="111"/>
      <c r="D9" s="111"/>
      <c r="E9" s="111"/>
      <c r="F9" s="111"/>
      <c r="G9" s="111"/>
      <c r="H9" s="111"/>
      <c r="I9" s="111"/>
      <c r="J9" s="111"/>
      <c r="K9" s="111"/>
    </row>
    <row r="10">
      <c r="B10" s="111"/>
      <c r="C10" s="111"/>
      <c r="D10" s="111"/>
      <c r="E10" s="111"/>
      <c r="F10" s="111"/>
      <c r="G10" s="111"/>
      <c r="H10" s="111"/>
      <c r="I10" s="111"/>
      <c r="J10" s="111"/>
      <c r="K10" s="111"/>
    </row>
    <row r="11">
      <c r="B11" s="111"/>
      <c r="C11" s="111"/>
      <c r="D11" s="111"/>
      <c r="E11" s="111"/>
      <c r="F11" s="111"/>
      <c r="G11" s="111"/>
      <c r="H11" s="111"/>
      <c r="I11" s="111"/>
      <c r="J11" s="111"/>
      <c r="K11" s="111"/>
    </row>
    <row r="12">
      <c r="B12" s="111"/>
      <c r="C12" s="111"/>
      <c r="D12" s="111"/>
      <c r="E12" s="111"/>
      <c r="F12" s="111"/>
      <c r="G12" s="111"/>
      <c r="H12" s="111"/>
      <c r="I12" s="111"/>
      <c r="J12" s="111"/>
      <c r="K12" s="111"/>
    </row>
    <row r="13">
      <c r="B13" s="111"/>
      <c r="C13" s="111"/>
      <c r="D13" s="111"/>
      <c r="E13" s="111"/>
      <c r="F13" s="111"/>
      <c r="G13" s="111"/>
      <c r="H13" s="111"/>
      <c r="I13" s="111"/>
      <c r="J13" s="111"/>
      <c r="K13" s="111"/>
    </row>
    <row r="14">
      <c r="B14" s="111"/>
      <c r="C14" s="111"/>
      <c r="D14" s="111"/>
      <c r="E14" s="111"/>
      <c r="F14" s="111"/>
      <c r="G14" s="111"/>
      <c r="H14" s="111"/>
      <c r="I14" s="111"/>
      <c r="J14" s="111"/>
      <c r="K14" s="111"/>
    </row>
    <row r="15">
      <c r="B15" s="111"/>
      <c r="C15" s="111"/>
      <c r="D15" s="111"/>
      <c r="E15" s="111"/>
      <c r="F15" s="111"/>
      <c r="G15" s="111"/>
      <c r="H15" s="111"/>
      <c r="I15" s="111"/>
      <c r="J15" s="111"/>
      <c r="K15" s="111"/>
    </row>
    <row r="16">
      <c r="B16" s="111"/>
      <c r="C16" s="111"/>
      <c r="D16" s="111"/>
      <c r="E16" s="111"/>
      <c r="F16" s="111"/>
      <c r="G16" s="111"/>
      <c r="H16" s="111"/>
      <c r="I16" s="111"/>
      <c r="J16" s="111"/>
      <c r="K16" s="111"/>
    </row>
    <row r="17">
      <c r="B17" s="111"/>
      <c r="C17" s="111"/>
      <c r="D17" s="111"/>
      <c r="E17" s="111"/>
      <c r="F17" s="111"/>
      <c r="G17" s="111"/>
      <c r="H17" s="111"/>
      <c r="I17" s="111"/>
      <c r="J17" s="111"/>
      <c r="K17" s="111"/>
    </row>
    <row r="18">
      <c r="B18" s="111"/>
      <c r="C18" s="111"/>
      <c r="D18" s="111"/>
      <c r="E18" s="111"/>
      <c r="F18" s="111"/>
      <c r="G18" s="111"/>
      <c r="H18" s="111"/>
      <c r="I18" s="111"/>
      <c r="J18" s="111"/>
      <c r="K18" s="111"/>
    </row>
    <row r="19">
      <c r="B19" s="111"/>
      <c r="C19" s="111"/>
      <c r="D19" s="111"/>
      <c r="E19" s="111"/>
      <c r="F19" s="111"/>
      <c r="G19" s="111"/>
      <c r="H19" s="111"/>
      <c r="I19" s="111"/>
      <c r="J19" s="111"/>
      <c r="K19" s="111"/>
    </row>
    <row r="20">
      <c r="B20" s="111"/>
      <c r="C20" s="111"/>
      <c r="D20" s="111"/>
      <c r="E20" s="111"/>
      <c r="F20" s="111"/>
      <c r="G20" s="111"/>
      <c r="H20" s="111"/>
      <c r="I20" s="111"/>
      <c r="J20" s="111"/>
      <c r="K20" s="111"/>
    </row>
    <row r="21">
      <c r="B21" s="111"/>
      <c r="C21" s="111"/>
      <c r="D21" s="111"/>
      <c r="E21" s="111"/>
      <c r="F21" s="111"/>
      <c r="G21" s="111"/>
      <c r="H21" s="111"/>
      <c r="I21" s="111"/>
      <c r="J21" s="111"/>
      <c r="K21" s="111"/>
    </row>
    <row r="22"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>
      <c r="B25" s="111"/>
      <c r="C25" s="111"/>
      <c r="D25" s="111"/>
      <c r="E25" s="111"/>
      <c r="F25" s="111"/>
      <c r="G25" s="111"/>
      <c r="H25" s="111"/>
      <c r="I25" s="111"/>
      <c r="J25" s="111"/>
      <c r="K25" s="111"/>
    </row>
    <row r="26">
      <c r="B26" s="111"/>
      <c r="C26" s="111"/>
      <c r="D26" s="111"/>
      <c r="E26" s="111"/>
      <c r="F26" s="111"/>
      <c r="G26" s="111"/>
      <c r="H26" s="111"/>
      <c r="I26" s="111"/>
      <c r="J26" s="111"/>
      <c r="K26" s="111"/>
    </row>
    <row r="27"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>
      <c r="B28" s="111"/>
      <c r="C28" s="111"/>
      <c r="D28" s="111"/>
      <c r="E28" s="111"/>
      <c r="F28" s="111"/>
      <c r="G28" s="111"/>
      <c r="H28" s="111"/>
      <c r="I28" s="111"/>
      <c r="J28" s="111"/>
      <c r="K28" s="111"/>
    </row>
    <row r="29">
      <c r="B29" s="111"/>
      <c r="C29" s="111"/>
      <c r="D29" s="111"/>
      <c r="E29" s="111"/>
      <c r="F29" s="111"/>
      <c r="G29" s="111"/>
      <c r="H29" s="111"/>
      <c r="I29" s="111"/>
      <c r="J29" s="111"/>
      <c r="K29" s="111"/>
    </row>
    <row r="30">
      <c r="B30" s="111"/>
      <c r="C30" s="111"/>
      <c r="D30" s="111"/>
      <c r="E30" s="111"/>
      <c r="F30" s="111"/>
      <c r="G30" s="111"/>
      <c r="H30" s="111"/>
      <c r="I30" s="111"/>
      <c r="J30" s="111"/>
      <c r="K30" s="111"/>
    </row>
    <row r="31">
      <c r="B31" s="111"/>
      <c r="C31" s="111"/>
      <c r="D31" s="111"/>
      <c r="E31" s="111"/>
      <c r="F31" s="111"/>
      <c r="G31" s="111"/>
      <c r="H31" s="111"/>
      <c r="I31" s="111"/>
      <c r="J31" s="111"/>
      <c r="K31" s="111"/>
    </row>
    <row r="32">
      <c r="B32" s="111"/>
      <c r="C32" s="111"/>
      <c r="D32" s="111"/>
      <c r="E32" s="111"/>
      <c r="F32" s="111"/>
      <c r="G32" s="111"/>
      <c r="H32" s="111"/>
      <c r="I32" s="111"/>
      <c r="J32" s="111"/>
      <c r="K32" s="111"/>
    </row>
    <row r="33">
      <c r="B33" s="111"/>
      <c r="C33" s="111"/>
      <c r="D33" s="111"/>
      <c r="E33" s="111"/>
      <c r="F33" s="111"/>
      <c r="G33" s="111"/>
      <c r="H33" s="111"/>
      <c r="I33" s="111"/>
      <c r="J33" s="111"/>
      <c r="K33" s="111"/>
    </row>
    <row r="34">
      <c r="B34" s="111"/>
      <c r="C34" s="111"/>
      <c r="D34" s="111"/>
      <c r="E34" s="111"/>
      <c r="F34" s="111"/>
      <c r="G34" s="111"/>
      <c r="H34" s="111"/>
      <c r="I34" s="111"/>
      <c r="J34" s="111"/>
      <c r="K34" s="111"/>
    </row>
    <row r="35">
      <c r="B35" s="111"/>
      <c r="C35" s="111"/>
      <c r="D35" s="111"/>
      <c r="E35" s="111"/>
      <c r="F35" s="111"/>
      <c r="G35" s="111"/>
      <c r="H35" s="111"/>
      <c r="I35" s="111"/>
      <c r="J35" s="111"/>
      <c r="K35" s="111"/>
    </row>
    <row r="36">
      <c r="B36" s="111"/>
      <c r="C36" s="111"/>
      <c r="D36" s="111"/>
      <c r="E36" s="111"/>
      <c r="F36" s="111"/>
      <c r="G36" s="111"/>
      <c r="H36" s="111"/>
      <c r="I36" s="111"/>
      <c r="J36" s="111"/>
      <c r="K36" s="111"/>
    </row>
    <row r="37">
      <c r="B37" s="111"/>
      <c r="C37" s="111"/>
      <c r="D37" s="111"/>
      <c r="E37" s="111"/>
      <c r="F37" s="111"/>
      <c r="G37" s="111"/>
      <c r="H37" s="111"/>
      <c r="I37" s="111"/>
      <c r="J37" s="111"/>
      <c r="K37" s="111"/>
    </row>
    <row r="38">
      <c r="B38" s="111"/>
      <c r="C38" s="111"/>
      <c r="D38" s="111"/>
      <c r="E38" s="111"/>
      <c r="F38" s="111"/>
      <c r="G38" s="111"/>
      <c r="H38" s="111"/>
      <c r="I38" s="111"/>
      <c r="J38" s="111"/>
      <c r="K38" s="111"/>
    </row>
    <row r="39">
      <c r="B39" s="111"/>
      <c r="C39" s="111"/>
      <c r="D39" s="111"/>
      <c r="E39" s="111"/>
      <c r="F39" s="111"/>
      <c r="G39" s="111"/>
      <c r="H39" s="111"/>
      <c r="I39" s="111"/>
      <c r="J39" s="111"/>
      <c r="K39" s="111"/>
    </row>
    <row r="40">
      <c r="B40" s="111"/>
      <c r="C40" s="111"/>
      <c r="D40" s="111"/>
      <c r="E40" s="111"/>
      <c r="F40" s="111"/>
      <c r="G40" s="111"/>
      <c r="H40" s="111"/>
      <c r="I40" s="111"/>
      <c r="J40" s="111"/>
      <c r="K40" s="111"/>
    </row>
    <row r="41">
      <c r="B41" s="111"/>
      <c r="C41" s="111"/>
      <c r="D41" s="111"/>
      <c r="E41" s="111"/>
      <c r="F41" s="111"/>
      <c r="G41" s="111"/>
      <c r="H41" s="111"/>
      <c r="I41" s="111"/>
      <c r="J41" s="111"/>
      <c r="K41" s="111"/>
    </row>
    <row r="42">
      <c r="B42" s="111"/>
      <c r="C42" s="111"/>
      <c r="D42" s="111"/>
      <c r="E42" s="111"/>
      <c r="F42" s="111"/>
      <c r="G42" s="111"/>
      <c r="H42" s="111"/>
      <c r="I42" s="111"/>
      <c r="J42" s="111"/>
      <c r="K42" s="111"/>
    </row>
    <row r="43">
      <c r="B43" s="111"/>
      <c r="C43" s="111"/>
      <c r="D43" s="111"/>
      <c r="E43" s="111"/>
      <c r="F43" s="111"/>
      <c r="G43" s="111"/>
      <c r="H43" s="111"/>
      <c r="I43" s="111"/>
      <c r="J43" s="111"/>
      <c r="K43" s="111"/>
    </row>
    <row r="44">
      <c r="B44" s="111"/>
      <c r="C44" s="111"/>
      <c r="D44" s="111"/>
      <c r="E44" s="111"/>
      <c r="F44" s="111"/>
      <c r="G44" s="111"/>
      <c r="H44" s="111"/>
      <c r="I44" s="111"/>
      <c r="J44" s="111"/>
      <c r="K44" s="111"/>
    </row>
    <row r="45">
      <c r="B45" s="111"/>
      <c r="C45" s="111"/>
      <c r="D45" s="111"/>
      <c r="E45" s="111"/>
      <c r="F45" s="111"/>
      <c r="G45" s="111"/>
      <c r="H45" s="111"/>
      <c r="I45" s="111"/>
      <c r="J45" s="111"/>
      <c r="K45" s="111"/>
    </row>
    <row r="46">
      <c r="B46" s="111"/>
      <c r="C46" s="111"/>
      <c r="D46" s="111"/>
      <c r="E46" s="111"/>
      <c r="F46" s="111"/>
      <c r="G46" s="111"/>
      <c r="H46" s="111"/>
      <c r="I46" s="111"/>
      <c r="J46" s="111"/>
      <c r="K46" s="111"/>
    </row>
    <row r="47">
      <c r="B47" s="111"/>
      <c r="C47" s="111"/>
      <c r="D47" s="111"/>
      <c r="E47" s="111"/>
      <c r="F47" s="111"/>
      <c r="G47" s="111"/>
      <c r="H47" s="111"/>
      <c r="I47" s="111"/>
      <c r="J47" s="111"/>
      <c r="K47" s="111"/>
    </row>
    <row r="48">
      <c r="B48" s="111"/>
      <c r="C48" s="111"/>
      <c r="D48" s="111"/>
      <c r="E48" s="111"/>
      <c r="F48" s="111"/>
      <c r="G48" s="111"/>
      <c r="H48" s="111"/>
      <c r="I48" s="111"/>
      <c r="J48" s="111"/>
      <c r="K48" s="111"/>
    </row>
    <row r="49">
      <c r="B49" s="111"/>
      <c r="C49" s="111"/>
      <c r="D49" s="111"/>
      <c r="E49" s="111"/>
      <c r="F49" s="111"/>
      <c r="G49" s="111"/>
      <c r="H49" s="111"/>
      <c r="I49" s="111"/>
      <c r="J49" s="111"/>
      <c r="K49" s="111"/>
    </row>
    <row r="50">
      <c r="B50" s="111"/>
      <c r="C50" s="111"/>
      <c r="D50" s="111"/>
      <c r="E50" s="111"/>
      <c r="F50" s="111"/>
      <c r="G50" s="111"/>
      <c r="H50" s="111"/>
      <c r="I50" s="111"/>
      <c r="J50" s="111"/>
      <c r="K50" s="111"/>
    </row>
    <row r="51">
      <c r="B51" s="111"/>
      <c r="C51" s="111"/>
      <c r="D51" s="111"/>
      <c r="E51" s="111"/>
      <c r="F51" s="111"/>
      <c r="G51" s="111"/>
      <c r="H51" s="111"/>
      <c r="I51" s="111"/>
      <c r="J51" s="111"/>
      <c r="K51" s="111"/>
    </row>
    <row r="52">
      <c r="B52" s="111"/>
      <c r="C52" s="111"/>
      <c r="D52" s="111"/>
      <c r="E52" s="111"/>
      <c r="F52" s="111"/>
      <c r="G52" s="111"/>
      <c r="H52" s="111"/>
      <c r="I52" s="111"/>
      <c r="J52" s="111"/>
      <c r="K52" s="111"/>
    </row>
    <row r="53">
      <c r="B53" s="111"/>
      <c r="C53" s="111"/>
      <c r="D53" s="111"/>
      <c r="E53" s="111"/>
      <c r="F53" s="111"/>
      <c r="G53" s="111"/>
      <c r="H53" s="111"/>
      <c r="I53" s="111"/>
      <c r="J53" s="111"/>
      <c r="K53" s="111"/>
    </row>
    <row r="54">
      <c r="B54" s="111"/>
      <c r="C54" s="111"/>
      <c r="D54" s="111"/>
      <c r="E54" s="111"/>
      <c r="F54" s="111"/>
      <c r="G54" s="111"/>
      <c r="H54" s="111"/>
      <c r="I54" s="111"/>
      <c r="J54" s="111"/>
      <c r="K54" s="111"/>
    </row>
    <row r="55">
      <c r="B55" s="111"/>
      <c r="C55" s="111"/>
      <c r="D55" s="111"/>
      <c r="E55" s="111"/>
      <c r="F55" s="111"/>
      <c r="G55" s="111"/>
      <c r="H55" s="111"/>
      <c r="I55" s="111"/>
      <c r="J55" s="111"/>
      <c r="K55" s="111"/>
    </row>
    <row r="56">
      <c r="B56" s="111"/>
      <c r="C56" s="111"/>
      <c r="D56" s="111"/>
      <c r="E56" s="111"/>
      <c r="F56" s="111"/>
      <c r="G56" s="111"/>
      <c r="H56" s="111"/>
      <c r="I56" s="111"/>
      <c r="J56" s="111"/>
      <c r="K56" s="111"/>
    </row>
    <row r="57">
      <c r="B57" s="111"/>
      <c r="C57" s="111"/>
      <c r="D57" s="111"/>
      <c r="E57" s="111"/>
      <c r="F57" s="111"/>
      <c r="G57" s="111"/>
      <c r="H57" s="111"/>
      <c r="I57" s="111"/>
      <c r="J57" s="111"/>
      <c r="K57" s="111"/>
    </row>
    <row r="58">
      <c r="B58" s="111"/>
      <c r="C58" s="111"/>
      <c r="D58" s="111"/>
      <c r="E58" s="111"/>
      <c r="F58" s="111"/>
      <c r="G58" s="111"/>
      <c r="H58" s="111"/>
      <c r="I58" s="111"/>
      <c r="J58" s="111"/>
      <c r="K58" s="111"/>
    </row>
    <row r="59">
      <c r="B59" s="111"/>
      <c r="C59" s="111"/>
      <c r="D59" s="111"/>
      <c r="E59" s="111"/>
      <c r="F59" s="111"/>
      <c r="G59" s="111"/>
      <c r="H59" s="111"/>
      <c r="I59" s="111"/>
      <c r="J59" s="111"/>
      <c r="K59" s="111"/>
    </row>
    <row r="60">
      <c r="B60" s="111"/>
      <c r="C60" s="111"/>
      <c r="D60" s="111"/>
      <c r="E60" s="111"/>
      <c r="F60" s="111"/>
      <c r="G60" s="111"/>
      <c r="H60" s="111"/>
      <c r="I60" s="111"/>
      <c r="J60" s="111"/>
      <c r="K60" s="111"/>
    </row>
    <row r="61">
      <c r="B61" s="111"/>
      <c r="C61" s="111"/>
      <c r="D61" s="111"/>
      <c r="E61" s="111"/>
      <c r="F61" s="111"/>
      <c r="G61" s="111"/>
      <c r="H61" s="111"/>
      <c r="I61" s="111"/>
      <c r="J61" s="111"/>
      <c r="K61" s="111"/>
    </row>
    <row r="62">
      <c r="B62" s="111"/>
      <c r="C62" s="111"/>
      <c r="D62" s="111"/>
      <c r="E62" s="111"/>
      <c r="F62" s="111"/>
      <c r="G62" s="111"/>
      <c r="H62" s="111"/>
      <c r="I62" s="111"/>
      <c r="J62" s="111"/>
      <c r="K62" s="111"/>
    </row>
    <row r="63">
      <c r="B63" s="111"/>
      <c r="C63" s="111"/>
      <c r="D63" s="111"/>
      <c r="E63" s="111"/>
      <c r="F63" s="111"/>
      <c r="G63" s="111"/>
      <c r="H63" s="111"/>
      <c r="I63" s="111"/>
      <c r="J63" s="111"/>
      <c r="K63" s="111"/>
    </row>
    <row r="64">
      <c r="B64" s="111"/>
      <c r="C64" s="111"/>
      <c r="D64" s="111"/>
      <c r="E64" s="111"/>
      <c r="F64" s="111"/>
      <c r="G64" s="111"/>
      <c r="H64" s="111"/>
      <c r="I64" s="111"/>
      <c r="J64" s="111"/>
      <c r="K64" s="111"/>
    </row>
    <row r="65">
      <c r="B65" s="111"/>
      <c r="C65" s="111"/>
      <c r="D65" s="111"/>
      <c r="E65" s="111"/>
      <c r="F65" s="111"/>
      <c r="G65" s="111"/>
      <c r="H65" s="111"/>
      <c r="I65" s="111"/>
      <c r="J65" s="111"/>
      <c r="K65" s="111"/>
    </row>
    <row r="66">
      <c r="B66" s="111"/>
      <c r="C66" s="111"/>
      <c r="D66" s="111"/>
      <c r="E66" s="111"/>
      <c r="F66" s="111"/>
      <c r="G66" s="111"/>
      <c r="H66" s="111"/>
      <c r="I66" s="111"/>
      <c r="J66" s="111"/>
      <c r="K66" s="111"/>
    </row>
    <row r="67">
      <c r="B67" s="111"/>
      <c r="C67" s="111"/>
      <c r="D67" s="111"/>
      <c r="E67" s="111"/>
      <c r="F67" s="111"/>
      <c r="G67" s="111"/>
      <c r="H67" s="111"/>
      <c r="I67" s="111"/>
      <c r="J67" s="111"/>
      <c r="K67" s="111"/>
    </row>
    <row r="68">
      <c r="B68" s="111"/>
      <c r="C68" s="111"/>
      <c r="D68" s="111"/>
      <c r="E68" s="111"/>
      <c r="F68" s="111"/>
      <c r="G68" s="111"/>
      <c r="H68" s="111"/>
      <c r="I68" s="111"/>
      <c r="J68" s="111"/>
      <c r="K68" s="111"/>
    </row>
    <row r="69">
      <c r="B69" s="111"/>
      <c r="C69" s="111"/>
      <c r="D69" s="111"/>
      <c r="E69" s="111"/>
      <c r="F69" s="111"/>
      <c r="G69" s="111"/>
      <c r="H69" s="111"/>
      <c r="I69" s="111"/>
      <c r="J69" s="111"/>
      <c r="K69" s="111"/>
    </row>
    <row r="70">
      <c r="B70" s="111"/>
      <c r="C70" s="111"/>
      <c r="D70" s="111"/>
      <c r="E70" s="111"/>
      <c r="F70" s="111"/>
      <c r="G70" s="111"/>
      <c r="H70" s="111"/>
      <c r="I70" s="111"/>
      <c r="J70" s="111"/>
      <c r="K70" s="111"/>
    </row>
    <row r="71">
      <c r="B71" s="111"/>
      <c r="C71" s="111"/>
      <c r="D71" s="111"/>
      <c r="E71" s="111"/>
      <c r="F71" s="111"/>
      <c r="G71" s="111"/>
      <c r="H71" s="111"/>
      <c r="I71" s="111"/>
      <c r="J71" s="111"/>
      <c r="K71" s="111"/>
    </row>
    <row r="72">
      <c r="B72" s="111"/>
      <c r="C72" s="111"/>
      <c r="D72" s="111"/>
      <c r="E72" s="111"/>
      <c r="F72" s="111"/>
      <c r="G72" s="111"/>
      <c r="H72" s="111"/>
      <c r="I72" s="111"/>
      <c r="J72" s="111"/>
      <c r="K72" s="111"/>
    </row>
    <row r="73">
      <c r="B73" s="111"/>
      <c r="C73" s="111"/>
      <c r="D73" s="111"/>
      <c r="E73" s="111"/>
      <c r="F73" s="111"/>
      <c r="G73" s="111"/>
      <c r="H73" s="111"/>
      <c r="I73" s="111"/>
      <c r="J73" s="111"/>
      <c r="K73" s="111"/>
    </row>
    <row r="74">
      <c r="B74" s="111"/>
      <c r="C74" s="111"/>
      <c r="D74" s="111"/>
      <c r="E74" s="111"/>
      <c r="F74" s="111"/>
      <c r="G74" s="111"/>
      <c r="H74" s="111"/>
      <c r="I74" s="111"/>
      <c r="J74" s="111"/>
      <c r="K74" s="111"/>
    </row>
    <row r="75">
      <c r="B75" s="111"/>
      <c r="C75" s="111"/>
      <c r="D75" s="111"/>
      <c r="E75" s="111"/>
      <c r="F75" s="111"/>
      <c r="G75" s="111"/>
      <c r="H75" s="111"/>
      <c r="I75" s="111"/>
      <c r="J75" s="111"/>
      <c r="K75" s="111"/>
    </row>
    <row r="76">
      <c r="B76" s="111"/>
      <c r="C76" s="111"/>
      <c r="D76" s="111"/>
      <c r="E76" s="111"/>
      <c r="F76" s="111"/>
      <c r="G76" s="111"/>
      <c r="H76" s="111"/>
      <c r="I76" s="111"/>
      <c r="J76" s="111"/>
      <c r="K76" s="111"/>
    </row>
    <row r="77">
      <c r="B77" s="111"/>
      <c r="C77" s="111"/>
      <c r="D77" s="111"/>
      <c r="E77" s="111"/>
      <c r="F77" s="111"/>
      <c r="G77" s="111"/>
      <c r="H77" s="111"/>
      <c r="I77" s="111"/>
      <c r="J77" s="111"/>
      <c r="K77" s="111"/>
    </row>
    <row r="78">
      <c r="B78" s="111"/>
      <c r="C78" s="111"/>
      <c r="D78" s="111"/>
      <c r="E78" s="111"/>
      <c r="F78" s="111"/>
      <c r="G78" s="111"/>
      <c r="H78" s="111"/>
      <c r="I78" s="111"/>
      <c r="J78" s="111"/>
      <c r="K78" s="111"/>
    </row>
    <row r="79">
      <c r="B79" s="111"/>
      <c r="C79" s="111"/>
      <c r="D79" s="111"/>
      <c r="E79" s="111"/>
      <c r="F79" s="111"/>
      <c r="G79" s="111"/>
      <c r="H79" s="111"/>
      <c r="I79" s="111"/>
      <c r="J79" s="111"/>
      <c r="K79" s="111"/>
    </row>
    <row r="80">
      <c r="B80" s="111"/>
      <c r="C80" s="111"/>
      <c r="D80" s="111"/>
      <c r="E80" s="111"/>
      <c r="F80" s="111"/>
      <c r="G80" s="111"/>
      <c r="H80" s="111"/>
      <c r="I80" s="111"/>
      <c r="J80" s="111"/>
      <c r="K80" s="111"/>
    </row>
    <row r="81">
      <c r="B81" s="111"/>
      <c r="C81" s="111"/>
      <c r="D81" s="111"/>
      <c r="E81" s="111"/>
      <c r="F81" s="111"/>
      <c r="G81" s="111"/>
      <c r="H81" s="111"/>
      <c r="I81" s="111"/>
      <c r="J81" s="111"/>
      <c r="K81" s="111"/>
    </row>
    <row r="82">
      <c r="B82" s="111"/>
      <c r="C82" s="111"/>
      <c r="D82" s="111"/>
      <c r="E82" s="111"/>
      <c r="F82" s="111"/>
      <c r="G82" s="111"/>
      <c r="H82" s="111"/>
      <c r="I82" s="111"/>
      <c r="J82" s="111"/>
      <c r="K82" s="111"/>
    </row>
    <row r="83">
      <c r="B83" s="111"/>
      <c r="C83" s="111"/>
      <c r="D83" s="111"/>
      <c r="E83" s="111"/>
      <c r="F83" s="111"/>
      <c r="G83" s="111"/>
      <c r="H83" s="111"/>
      <c r="I83" s="111"/>
      <c r="J83" s="111"/>
      <c r="K83" s="111"/>
    </row>
    <row r="84">
      <c r="B84" s="111"/>
      <c r="C84" s="111"/>
      <c r="D84" s="111"/>
      <c r="E84" s="111"/>
      <c r="F84" s="111"/>
      <c r="G84" s="111"/>
      <c r="H84" s="111"/>
      <c r="I84" s="111"/>
      <c r="J84" s="111"/>
      <c r="K84" s="111"/>
    </row>
    <row r="85">
      <c r="B85" s="111"/>
      <c r="C85" s="111"/>
      <c r="D85" s="111"/>
      <c r="E85" s="111"/>
      <c r="F85" s="111"/>
      <c r="G85" s="111"/>
      <c r="H85" s="111"/>
      <c r="I85" s="111"/>
      <c r="J85" s="111"/>
      <c r="K85" s="111"/>
    </row>
    <row r="86">
      <c r="B86" s="111"/>
      <c r="C86" s="111"/>
      <c r="D86" s="111"/>
      <c r="E86" s="111"/>
      <c r="F86" s="111"/>
      <c r="G86" s="111"/>
      <c r="H86" s="111"/>
      <c r="I86" s="111"/>
      <c r="J86" s="111"/>
      <c r="K86" s="111"/>
    </row>
    <row r="87">
      <c r="B87" s="111"/>
      <c r="C87" s="111"/>
      <c r="D87" s="111"/>
      <c r="E87" s="111"/>
      <c r="F87" s="111"/>
      <c r="G87" s="111"/>
      <c r="H87" s="111"/>
      <c r="I87" s="111"/>
      <c r="J87" s="111"/>
      <c r="K87" s="111"/>
    </row>
    <row r="88">
      <c r="B88" s="111"/>
      <c r="C88" s="111"/>
      <c r="D88" s="111"/>
      <c r="E88" s="111"/>
      <c r="F88" s="111"/>
      <c r="G88" s="111"/>
      <c r="H88" s="111"/>
      <c r="I88" s="111"/>
      <c r="J88" s="111"/>
      <c r="K88" s="111"/>
    </row>
    <row r="89">
      <c r="B89" s="111"/>
      <c r="C89" s="111"/>
      <c r="D89" s="111"/>
      <c r="E89" s="111"/>
      <c r="F89" s="111"/>
      <c r="G89" s="111"/>
      <c r="H89" s="111"/>
      <c r="I89" s="111"/>
      <c r="J89" s="111"/>
      <c r="K89" s="111"/>
    </row>
    <row r="90">
      <c r="B90" s="111"/>
      <c r="C90" s="111"/>
      <c r="D90" s="111"/>
      <c r="E90" s="111"/>
      <c r="F90" s="111"/>
      <c r="G90" s="111"/>
      <c r="H90" s="111"/>
      <c r="I90" s="111"/>
      <c r="J90" s="111"/>
      <c r="K90" s="111"/>
    </row>
    <row r="91">
      <c r="B91" s="111"/>
      <c r="C91" s="111"/>
      <c r="D91" s="111"/>
      <c r="E91" s="111"/>
      <c r="F91" s="111"/>
      <c r="G91" s="111"/>
      <c r="H91" s="111"/>
      <c r="I91" s="111"/>
      <c r="J91" s="111"/>
      <c r="K91" s="111"/>
    </row>
    <row r="92">
      <c r="B92" s="111"/>
      <c r="C92" s="111"/>
      <c r="D92" s="111"/>
      <c r="E92" s="111"/>
      <c r="F92" s="111"/>
      <c r="G92" s="111"/>
      <c r="H92" s="111"/>
      <c r="I92" s="111"/>
      <c r="J92" s="111"/>
      <c r="K92" s="111"/>
    </row>
    <row r="93">
      <c r="B93" s="111"/>
      <c r="C93" s="111"/>
      <c r="D93" s="111"/>
      <c r="E93" s="111"/>
      <c r="F93" s="111"/>
      <c r="G93" s="111"/>
      <c r="H93" s="111"/>
      <c r="I93" s="111"/>
      <c r="J93" s="111"/>
      <c r="K93" s="111"/>
    </row>
    <row r="94">
      <c r="B94" s="111"/>
      <c r="C94" s="111"/>
      <c r="D94" s="111"/>
      <c r="E94" s="111"/>
      <c r="F94" s="111"/>
      <c r="G94" s="111"/>
      <c r="H94" s="111"/>
      <c r="I94" s="111"/>
      <c r="J94" s="111"/>
      <c r="K94" s="111"/>
    </row>
    <row r="95">
      <c r="B95" s="111"/>
      <c r="C95" s="111"/>
      <c r="D95" s="111"/>
      <c r="E95" s="111"/>
      <c r="F95" s="111"/>
      <c r="G95" s="111"/>
      <c r="H95" s="111"/>
      <c r="I95" s="111"/>
      <c r="J95" s="111"/>
      <c r="K95" s="111"/>
    </row>
    <row r="96">
      <c r="B96" s="111"/>
      <c r="C96" s="111"/>
      <c r="D96" s="111"/>
      <c r="E96" s="111"/>
      <c r="F96" s="111"/>
      <c r="G96" s="111"/>
      <c r="H96" s="111"/>
      <c r="I96" s="111"/>
      <c r="J96" s="111"/>
      <c r="K96" s="111"/>
    </row>
    <row r="97">
      <c r="B97" s="111"/>
      <c r="C97" s="111"/>
      <c r="D97" s="111"/>
      <c r="E97" s="111"/>
      <c r="F97" s="111"/>
      <c r="G97" s="111"/>
      <c r="H97" s="111"/>
      <c r="I97" s="111"/>
      <c r="J97" s="111"/>
      <c r="K97" s="111"/>
    </row>
    <row r="98">
      <c r="B98" s="111"/>
      <c r="C98" s="111"/>
      <c r="D98" s="111"/>
      <c r="E98" s="111"/>
      <c r="F98" s="111"/>
      <c r="G98" s="111"/>
      <c r="H98" s="111"/>
      <c r="I98" s="111"/>
      <c r="J98" s="111"/>
      <c r="K98" s="111"/>
    </row>
    <row r="99">
      <c r="B99" s="111"/>
      <c r="C99" s="111"/>
      <c r="D99" s="111"/>
      <c r="E99" s="111"/>
      <c r="F99" s="111"/>
      <c r="G99" s="111"/>
      <c r="H99" s="111"/>
      <c r="I99" s="111"/>
      <c r="J99" s="111"/>
      <c r="K99" s="111"/>
    </row>
    <row r="100"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</row>
    <row r="101"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</row>
    <row r="102"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</row>
    <row r="103"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</row>
    <row r="104"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</row>
    <row r="105"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</row>
    <row r="106"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</row>
    <row r="107"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</row>
    <row r="108"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</row>
    <row r="109"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</row>
    <row r="110"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</row>
    <row r="111"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</row>
    <row r="112"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</row>
    <row r="113"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</row>
    <row r="114"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</row>
    <row r="115"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</row>
    <row r="116"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</row>
    <row r="117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</row>
    <row r="118"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</row>
    <row r="119"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</row>
    <row r="120"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</row>
    <row r="121"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</row>
    <row r="122"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</row>
    <row r="123"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</row>
    <row r="124"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</row>
    <row r="125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</row>
    <row r="126"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</row>
    <row r="127"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</row>
    <row r="128"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</row>
    <row r="129"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</row>
    <row r="130"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</row>
    <row r="131"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</row>
    <row r="132"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</row>
    <row r="133"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</row>
    <row r="134"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</row>
    <row r="135"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</row>
    <row r="136"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</row>
    <row r="137"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</row>
    <row r="138"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</row>
    <row r="139"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</row>
    <row r="140"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</row>
    <row r="141"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</row>
    <row r="142"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</row>
    <row r="143"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</row>
    <row r="144"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</row>
    <row r="145"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</row>
    <row r="146"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</row>
    <row r="147"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</row>
    <row r="148"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</row>
    <row r="149"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</row>
    <row r="150"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</row>
    <row r="151"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</row>
    <row r="152"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</row>
    <row r="153"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</row>
    <row r="154"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</row>
    <row r="155"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</row>
    <row r="156"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</row>
    <row r="157"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</row>
    <row r="158"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</row>
    <row r="159"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</row>
    <row r="160"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</row>
    <row r="161"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</row>
    <row r="162"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</row>
    <row r="163"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</row>
    <row r="164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</row>
    <row r="165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</row>
    <row r="166"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</row>
    <row r="167"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</row>
    <row r="168"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</row>
    <row r="169"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</row>
    <row r="170"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</row>
    <row r="171"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</row>
    <row r="172"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</row>
    <row r="173"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</row>
    <row r="174"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</row>
    <row r="175"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</row>
    <row r="176"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</row>
    <row r="177"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</row>
    <row r="178"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</row>
    <row r="179"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</row>
    <row r="180"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</row>
    <row r="181"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</row>
    <row r="182"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</row>
    <row r="183"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</row>
    <row r="184"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</row>
    <row r="185"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</row>
    <row r="186"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</row>
    <row r="187"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</row>
    <row r="188"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</row>
    <row r="189"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</row>
    <row r="190"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</row>
    <row r="191"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</row>
    <row r="192"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</row>
    <row r="193"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</row>
    <row r="194"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</row>
    <row r="195"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</row>
    <row r="196"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</row>
    <row r="197"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</row>
    <row r="198"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</row>
    <row r="199"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</row>
    <row r="200"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</row>
    <row r="201"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</row>
    <row r="202"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</row>
    <row r="203"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</row>
    <row r="204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</row>
    <row r="205"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</row>
    <row r="206"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</row>
    <row r="207"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</row>
    <row r="208"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</row>
    <row r="209"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</row>
    <row r="210"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</row>
    <row r="211"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</row>
    <row r="212"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</row>
    <row r="213"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</row>
    <row r="214"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</row>
    <row r="215"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</row>
    <row r="216"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</row>
    <row r="217"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</row>
    <row r="218"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</row>
    <row r="219"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</row>
    <row r="220"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</row>
    <row r="221"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</row>
    <row r="222"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</row>
    <row r="223"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</row>
    <row r="224"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</row>
    <row r="225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</row>
    <row r="226"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</row>
    <row r="227"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</row>
    <row r="228"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</row>
    <row r="229"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</row>
    <row r="230"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</row>
    <row r="231"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</row>
    <row r="232"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</row>
    <row r="233"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</row>
    <row r="234"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</row>
    <row r="235"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</row>
    <row r="236"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</row>
    <row r="237"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</row>
    <row r="238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</row>
    <row r="239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</row>
    <row r="240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</row>
    <row r="241"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</row>
    <row r="242"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</row>
    <row r="243"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</row>
    <row r="244"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</row>
    <row r="245"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</row>
    <row r="246"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</row>
    <row r="247"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</row>
    <row r="248"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</row>
    <row r="249"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</row>
    <row r="250"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</row>
    <row r="251"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</row>
    <row r="252"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</row>
    <row r="253"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</row>
    <row r="254"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</row>
    <row r="255"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</row>
    <row r="256"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</row>
    <row r="257"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</row>
    <row r="258"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</row>
    <row r="259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</row>
    <row r="260"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</row>
    <row r="261"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</row>
    <row r="262"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</row>
    <row r="263"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</row>
    <row r="264"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</row>
    <row r="265"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</row>
    <row r="266"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</row>
    <row r="267"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</row>
    <row r="268"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</row>
    <row r="269"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</row>
    <row r="270"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</row>
    <row r="271"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</row>
    <row r="272"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</row>
    <row r="273"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</row>
    <row r="274"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</row>
    <row r="275"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</row>
    <row r="276"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</row>
    <row r="277"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</row>
    <row r="278"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</row>
    <row r="279"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</row>
    <row r="280"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</row>
    <row r="281"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</row>
    <row r="282"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</row>
    <row r="283"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</row>
    <row r="284"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</row>
    <row r="285"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</row>
    <row r="286"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</row>
    <row r="287"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</row>
    <row r="288"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</row>
    <row r="289"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</row>
    <row r="290"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</row>
    <row r="291"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</row>
    <row r="292"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</row>
    <row r="293"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</row>
    <row r="294"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</row>
    <row r="295"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</row>
    <row r="296"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</row>
    <row r="297"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</row>
    <row r="298"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</row>
    <row r="299"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</row>
    <row r="300"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</row>
    <row r="301"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</row>
    <row r="302"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</row>
    <row r="303"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</row>
    <row r="304"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</row>
    <row r="305"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</row>
    <row r="306"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</row>
    <row r="307"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</row>
    <row r="308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</row>
    <row r="309"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</row>
    <row r="310"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</row>
    <row r="311"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</row>
    <row r="312"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</row>
    <row r="313"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</row>
    <row r="314"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</row>
    <row r="315"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</row>
    <row r="316"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</row>
    <row r="317"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</row>
    <row r="318"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</row>
    <row r="319"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</row>
    <row r="320"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</row>
    <row r="321"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</row>
    <row r="322"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</row>
    <row r="323"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</row>
    <row r="324"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</row>
    <row r="325"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</row>
    <row r="326"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</row>
    <row r="327"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</row>
    <row r="328"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</row>
    <row r="329"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</row>
    <row r="330"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</row>
    <row r="331"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</row>
    <row r="332"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</row>
    <row r="333"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</row>
    <row r="334"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</row>
    <row r="335"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</row>
    <row r="336"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</row>
    <row r="337"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</row>
    <row r="338"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</row>
    <row r="339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</row>
    <row r="340"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</row>
    <row r="341"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</row>
    <row r="342"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</row>
    <row r="343"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</row>
    <row r="344"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</row>
    <row r="345"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</row>
    <row r="346"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</row>
    <row r="347"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</row>
    <row r="348"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</row>
    <row r="349"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</row>
    <row r="350"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</row>
    <row r="351"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</row>
    <row r="352"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</row>
    <row r="353"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</row>
    <row r="354"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</row>
    <row r="355"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</row>
    <row r="356"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</row>
    <row r="357"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</row>
    <row r="358"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</row>
    <row r="359"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</row>
    <row r="360"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</row>
    <row r="361"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</row>
    <row r="362"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</row>
    <row r="363"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</row>
    <row r="364"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</row>
    <row r="365"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</row>
    <row r="366"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</row>
    <row r="367"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</row>
    <row r="368"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</row>
    <row r="369"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</row>
    <row r="370"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</row>
    <row r="371"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</row>
    <row r="372"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</row>
    <row r="373"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</row>
    <row r="374"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</row>
    <row r="375"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</row>
    <row r="376"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</row>
    <row r="377"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</row>
    <row r="378"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</row>
    <row r="379"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</row>
    <row r="380"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</row>
    <row r="381"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</row>
    <row r="382"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</row>
    <row r="383"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</row>
    <row r="384"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</row>
    <row r="385"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</row>
    <row r="386"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</row>
    <row r="387"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</row>
    <row r="388"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</row>
    <row r="389"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</row>
    <row r="390"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</row>
    <row r="391"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</row>
    <row r="392"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</row>
    <row r="393"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</row>
    <row r="394"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</row>
    <row r="395"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</row>
    <row r="396"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</row>
    <row r="397"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</row>
    <row r="398"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</row>
    <row r="399"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</row>
    <row r="400"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</row>
    <row r="401"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</row>
    <row r="402"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</row>
    <row r="403"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</row>
    <row r="404"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</row>
    <row r="405"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</row>
    <row r="406"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</row>
    <row r="407"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</row>
    <row r="408"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</row>
    <row r="409"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</row>
    <row r="410"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</row>
    <row r="411"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</row>
    <row r="412"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</row>
    <row r="413"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</row>
    <row r="414"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</row>
    <row r="415"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</row>
    <row r="416"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</row>
    <row r="417"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</row>
    <row r="418"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</row>
    <row r="419"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</row>
    <row r="420"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</row>
    <row r="421"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</row>
    <row r="422"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</row>
    <row r="423"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</row>
    <row r="424"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</row>
    <row r="425"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</row>
    <row r="426"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</row>
    <row r="427"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</row>
    <row r="428"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</row>
    <row r="429"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</row>
    <row r="430"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</row>
    <row r="431"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</row>
    <row r="432"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</row>
    <row r="433"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</row>
    <row r="434"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</row>
    <row r="435"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</row>
    <row r="436"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</row>
    <row r="437"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</row>
    <row r="438"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</row>
    <row r="439"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</row>
    <row r="440"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</row>
    <row r="441"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</row>
    <row r="442"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</row>
    <row r="443"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</row>
    <row r="444"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</row>
    <row r="445"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</row>
    <row r="446"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</row>
    <row r="447"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</row>
    <row r="448"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</row>
    <row r="449"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</row>
    <row r="450"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</row>
    <row r="451"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</row>
    <row r="452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</row>
    <row r="453"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</row>
    <row r="454"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</row>
    <row r="455"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</row>
    <row r="456"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</row>
    <row r="457"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</row>
    <row r="458"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</row>
    <row r="459"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</row>
    <row r="460"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</row>
    <row r="461"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</row>
    <row r="462"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</row>
    <row r="463"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</row>
    <row r="464"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</row>
    <row r="465"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</row>
    <row r="466"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</row>
    <row r="467"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</row>
    <row r="468"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</row>
    <row r="469"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</row>
    <row r="470"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</row>
    <row r="471"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</row>
    <row r="472"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</row>
    <row r="473"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</row>
    <row r="474"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</row>
    <row r="475"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</row>
    <row r="476"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</row>
    <row r="477"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</row>
    <row r="478"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</row>
    <row r="479"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</row>
    <row r="480"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</row>
    <row r="481"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</row>
    <row r="482"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</row>
    <row r="483"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</row>
    <row r="484"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</row>
    <row r="485"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</row>
    <row r="486"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</row>
    <row r="487"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</row>
    <row r="488"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</row>
    <row r="489"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</row>
    <row r="490"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</row>
    <row r="491"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</row>
    <row r="492"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</row>
    <row r="493"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</row>
    <row r="494"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</row>
    <row r="495"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</row>
    <row r="496"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</row>
    <row r="497"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</row>
    <row r="498"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</row>
    <row r="499"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</row>
    <row r="500"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</row>
    <row r="501"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</row>
    <row r="502"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</row>
    <row r="503"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</row>
    <row r="504"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</row>
    <row r="505"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</row>
    <row r="506"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</row>
    <row r="507"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</row>
    <row r="508"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</row>
    <row r="509"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</row>
    <row r="510"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</row>
    <row r="51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</row>
    <row r="512"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</row>
    <row r="513"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</row>
    <row r="514"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</row>
    <row r="515"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</row>
    <row r="516"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</row>
    <row r="517"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</row>
    <row r="518"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</row>
    <row r="519"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</row>
    <row r="520"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</row>
    <row r="521"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</row>
    <row r="522"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</row>
    <row r="523"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</row>
    <row r="524"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</row>
    <row r="525"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</row>
    <row r="526"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</row>
    <row r="527"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</row>
    <row r="528"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</row>
    <row r="529"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</row>
    <row r="530"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</row>
    <row r="531"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</row>
    <row r="532"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</row>
    <row r="533"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</row>
    <row r="534"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</row>
    <row r="535"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</row>
    <row r="536"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</row>
    <row r="537"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</row>
    <row r="538"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</row>
    <row r="539"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</row>
    <row r="540"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</row>
    <row r="541"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</row>
    <row r="542"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</row>
    <row r="543"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</row>
    <row r="544"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</row>
    <row r="545"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</row>
    <row r="546"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</row>
    <row r="547"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</row>
    <row r="548"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</row>
    <row r="549"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</row>
    <row r="550"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</row>
    <row r="551"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</row>
    <row r="552"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</row>
    <row r="553"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</row>
    <row r="554"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</row>
    <row r="555"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</row>
    <row r="556"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</row>
    <row r="557"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</row>
    <row r="558"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</row>
    <row r="559"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</row>
    <row r="560"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</row>
    <row r="561"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</row>
    <row r="562"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</row>
    <row r="563"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</row>
    <row r="564"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</row>
    <row r="56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</row>
    <row r="566"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</row>
    <row r="567"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</row>
    <row r="568"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</row>
    <row r="569"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</row>
    <row r="570"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</row>
    <row r="571"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</row>
    <row r="572"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</row>
    <row r="573"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</row>
    <row r="574"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</row>
    <row r="575"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</row>
    <row r="576"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</row>
    <row r="577"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</row>
    <row r="578"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</row>
    <row r="579"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</row>
    <row r="580"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</row>
    <row r="581"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</row>
    <row r="582"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</row>
    <row r="583"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</row>
    <row r="584"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</row>
    <row r="585"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</row>
    <row r="586"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</row>
    <row r="587"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</row>
    <row r="588"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</row>
    <row r="589"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</row>
    <row r="590"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</row>
    <row r="591"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</row>
    <row r="592"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</row>
    <row r="593"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</row>
    <row r="594"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</row>
    <row r="595"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</row>
    <row r="596"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</row>
    <row r="597"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</row>
    <row r="598"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</row>
    <row r="599"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</row>
    <row r="600"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</row>
    <row r="601"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</row>
    <row r="602"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</row>
    <row r="603"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</row>
    <row r="604"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</row>
    <row r="605"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</row>
    <row r="606"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</row>
    <row r="607"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</row>
    <row r="608"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</row>
    <row r="609"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</row>
    <row r="610"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</row>
    <row r="611"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</row>
    <row r="612"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</row>
    <row r="613"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</row>
    <row r="614"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</row>
    <row r="615"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</row>
    <row r="616"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</row>
    <row r="617"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</row>
    <row r="618"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</row>
    <row r="619"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</row>
    <row r="620"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</row>
    <row r="621"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</row>
    <row r="622"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</row>
    <row r="623"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</row>
    <row r="624"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</row>
    <row r="625"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</row>
    <row r="626"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</row>
    <row r="627"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</row>
    <row r="628"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</row>
    <row r="629"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</row>
    <row r="630"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</row>
    <row r="631"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</row>
    <row r="632"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</row>
    <row r="633"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</row>
    <row r="634"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</row>
    <row r="635"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</row>
    <row r="636"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</row>
    <row r="637"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</row>
    <row r="638"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</row>
    <row r="639"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</row>
    <row r="640"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</row>
    <row r="641"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</row>
    <row r="642"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</row>
    <row r="643"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</row>
    <row r="644"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</row>
    <row r="645"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</row>
    <row r="646"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</row>
    <row r="647"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</row>
    <row r="648"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</row>
    <row r="649"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</row>
    <row r="650"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</row>
    <row r="651"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</row>
    <row r="652"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</row>
    <row r="653"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</row>
    <row r="654"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</row>
    <row r="655"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</row>
    <row r="656"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</row>
    <row r="657"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</row>
    <row r="658"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</row>
    <row r="659"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</row>
    <row r="660"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</row>
    <row r="661"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</row>
    <row r="662"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</row>
    <row r="663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</row>
    <row r="664"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</row>
    <row r="665"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</row>
    <row r="666"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</row>
    <row r="667"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</row>
    <row r="668"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</row>
    <row r="669"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</row>
    <row r="670"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</row>
    <row r="671"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</row>
    <row r="672"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</row>
    <row r="673"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</row>
    <row r="674"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</row>
    <row r="675"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</row>
    <row r="676"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</row>
    <row r="677"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</row>
    <row r="678"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</row>
    <row r="679"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</row>
    <row r="680"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</row>
    <row r="681"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</row>
    <row r="682"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</row>
    <row r="683"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</row>
    <row r="684"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</row>
    <row r="685"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</row>
    <row r="686"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</row>
    <row r="687"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</row>
    <row r="688"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</row>
    <row r="689"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</row>
    <row r="690"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</row>
    <row r="691"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</row>
    <row r="692"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</row>
    <row r="693"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</row>
    <row r="694"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</row>
    <row r="695"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</row>
    <row r="696"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</row>
    <row r="697"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</row>
    <row r="698"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</row>
    <row r="699"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</row>
    <row r="700"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</row>
    <row r="701"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</row>
    <row r="702"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</row>
    <row r="703"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</row>
    <row r="704"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</row>
    <row r="705"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</row>
    <row r="706"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</row>
    <row r="707"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</row>
    <row r="708"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</row>
    <row r="709"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</row>
    <row r="710"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</row>
    <row r="711"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</row>
    <row r="712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</row>
    <row r="713"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</row>
    <row r="714"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</row>
    <row r="715"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</row>
    <row r="716"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</row>
    <row r="717"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</row>
    <row r="718"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</row>
    <row r="719"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</row>
    <row r="720"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</row>
    <row r="721"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</row>
    <row r="722"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</row>
    <row r="723"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</row>
    <row r="724"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</row>
    <row r="725"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</row>
    <row r="726"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</row>
    <row r="727"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</row>
    <row r="728"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</row>
    <row r="729"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</row>
    <row r="730"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</row>
    <row r="731"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</row>
    <row r="732"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</row>
    <row r="733"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</row>
    <row r="734"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</row>
    <row r="73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</row>
    <row r="736"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</row>
    <row r="737"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</row>
    <row r="738"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</row>
    <row r="739"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</row>
    <row r="740"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</row>
    <row r="741"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</row>
    <row r="742"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</row>
    <row r="743"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</row>
    <row r="744"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</row>
    <row r="745"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</row>
    <row r="746"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</row>
    <row r="747"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</row>
    <row r="748"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</row>
    <row r="749"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</row>
    <row r="750"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</row>
    <row r="751"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</row>
    <row r="752"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</row>
    <row r="753"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</row>
    <row r="754"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</row>
    <row r="755"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</row>
    <row r="756"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</row>
    <row r="757"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</row>
    <row r="758"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</row>
    <row r="759"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</row>
    <row r="760"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</row>
    <row r="761"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</row>
    <row r="762"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</row>
    <row r="763"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</row>
    <row r="764"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</row>
    <row r="765"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</row>
    <row r="766"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</row>
    <row r="767"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</row>
    <row r="768"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</row>
    <row r="769"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</row>
    <row r="770"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</row>
    <row r="771"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</row>
    <row r="772"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</row>
    <row r="773"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</row>
    <row r="774"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</row>
    <row r="775"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</row>
    <row r="776"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</row>
    <row r="777"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</row>
    <row r="778"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</row>
    <row r="779"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</row>
    <row r="780"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</row>
    <row r="781"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</row>
    <row r="782"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</row>
    <row r="783"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</row>
    <row r="784"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</row>
    <row r="785"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</row>
    <row r="786"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</row>
    <row r="787"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</row>
    <row r="788"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</row>
    <row r="789"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</row>
    <row r="790"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</row>
    <row r="791"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</row>
    <row r="792"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</row>
    <row r="793"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</row>
    <row r="794"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</row>
    <row r="795"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</row>
    <row r="796"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</row>
    <row r="797"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</row>
    <row r="798"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</row>
    <row r="799"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</row>
    <row r="800"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</row>
    <row r="801"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</row>
    <row r="802"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</row>
    <row r="803"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</row>
    <row r="804"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</row>
    <row r="805"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</row>
    <row r="806"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</row>
    <row r="807"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</row>
    <row r="808"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</row>
    <row r="809"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</row>
    <row r="810"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</row>
    <row r="811"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</row>
    <row r="812"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</row>
    <row r="813"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</row>
    <row r="814"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</row>
    <row r="815"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</row>
    <row r="816"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</row>
    <row r="817"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</row>
    <row r="818"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</row>
    <row r="819"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</row>
    <row r="820"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</row>
    <row r="821"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</row>
    <row r="822"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</row>
    <row r="823"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</row>
    <row r="824"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</row>
    <row r="825"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</row>
    <row r="826"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</row>
    <row r="827"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</row>
    <row r="828"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</row>
    <row r="829"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</row>
    <row r="830"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</row>
    <row r="831"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</row>
    <row r="832"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</row>
    <row r="833"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</row>
    <row r="834"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</row>
    <row r="835"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</row>
    <row r="836"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</row>
    <row r="837"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</row>
    <row r="838"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</row>
    <row r="839"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</row>
    <row r="840"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</row>
    <row r="841"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</row>
    <row r="842"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</row>
    <row r="843"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</row>
    <row r="844"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</row>
    <row r="845"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</row>
    <row r="846"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</row>
    <row r="847"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</row>
    <row r="848"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</row>
    <row r="849"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</row>
    <row r="850"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</row>
    <row r="851"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</row>
    <row r="852"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</row>
    <row r="853"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</row>
    <row r="854"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</row>
    <row r="855"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</row>
    <row r="856"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</row>
    <row r="857"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</row>
    <row r="858"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</row>
    <row r="859"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</row>
    <row r="860"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</row>
    <row r="861"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</row>
    <row r="862"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</row>
    <row r="863"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</row>
    <row r="864"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</row>
    <row r="865"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</row>
    <row r="866"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</row>
    <row r="867"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</row>
    <row r="868"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</row>
    <row r="869"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</row>
    <row r="870"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</row>
    <row r="871"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</row>
    <row r="872"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</row>
    <row r="873"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</row>
    <row r="874"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</row>
    <row r="875"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</row>
    <row r="876"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</row>
    <row r="877"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</row>
    <row r="878"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</row>
    <row r="879"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</row>
    <row r="880"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</row>
    <row r="881"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</row>
    <row r="882"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</row>
    <row r="883"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</row>
    <row r="884"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</row>
    <row r="885"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</row>
    <row r="886"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</row>
    <row r="887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</row>
    <row r="888"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</row>
    <row r="889"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</row>
    <row r="890"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</row>
    <row r="891"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</row>
    <row r="892"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</row>
    <row r="893"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</row>
    <row r="894"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</row>
    <row r="895"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</row>
    <row r="896"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</row>
    <row r="897"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</row>
    <row r="898"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</row>
    <row r="899"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</row>
    <row r="900"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</row>
    <row r="901"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</row>
    <row r="902"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</row>
    <row r="903"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</row>
    <row r="904"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</row>
    <row r="905"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</row>
    <row r="906"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</row>
    <row r="907"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</row>
    <row r="908"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</row>
    <row r="909"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</row>
    <row r="910"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</row>
    <row r="911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</row>
    <row r="912"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</row>
    <row r="913"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</row>
    <row r="914"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</row>
    <row r="915"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</row>
    <row r="916"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</row>
    <row r="917"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</row>
    <row r="918"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</row>
    <row r="919"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</row>
    <row r="920"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</row>
    <row r="921"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</row>
    <row r="922"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</row>
    <row r="923"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</row>
    <row r="924"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</row>
    <row r="925"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</row>
    <row r="926"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</row>
    <row r="927"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</row>
    <row r="928"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</row>
    <row r="929"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</row>
    <row r="930"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</row>
    <row r="931"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</row>
    <row r="932"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</row>
    <row r="933"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</row>
    <row r="934"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</row>
    <row r="935"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</row>
    <row r="936"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</row>
    <row r="937"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</row>
    <row r="938"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</row>
    <row r="939"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</row>
    <row r="940"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</row>
    <row r="941"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</row>
    <row r="942"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</row>
    <row r="943"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</row>
    <row r="944"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</row>
    <row r="945"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</row>
    <row r="946"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</row>
    <row r="947"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</row>
    <row r="948"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</row>
    <row r="949"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</row>
    <row r="950"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</row>
    <row r="951"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</row>
    <row r="952"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</row>
    <row r="953"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</row>
    <row r="954"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</row>
    <row r="955"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</row>
    <row r="956"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</row>
    <row r="957"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</row>
    <row r="958"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</row>
    <row r="959"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</row>
    <row r="960"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</row>
    <row r="961"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</row>
    <row r="962"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</row>
    <row r="963"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</row>
    <row r="964"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</row>
    <row r="965"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</row>
    <row r="966"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</row>
    <row r="967"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</row>
    <row r="968"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</row>
    <row r="969"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</row>
    <row r="970"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</row>
    <row r="971"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</row>
    <row r="972"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</row>
    <row r="973"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</row>
    <row r="974"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</row>
    <row r="975"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</row>
    <row r="976"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</row>
    <row r="977"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</row>
    <row r="978"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</row>
    <row r="979"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</row>
    <row r="980"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</row>
    <row r="981"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</row>
    <row r="982"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</row>
    <row r="983"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</row>
    <row r="984"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</row>
    <row r="985"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</row>
    <row r="986"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</row>
    <row r="987"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</row>
    <row r="988"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</row>
    <row r="989"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</row>
    <row r="990"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</row>
    <row r="991"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</row>
    <row r="992"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</row>
    <row r="993"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</row>
    <row r="994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</row>
    <row r="995"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</row>
    <row r="996"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</row>
    <row r="997"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</row>
    <row r="998"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</row>
    <row r="999"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</row>
    <row r="1000"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</row>
  </sheetData>
  <drawing r:id="rId1"/>
</worksheet>
</file>