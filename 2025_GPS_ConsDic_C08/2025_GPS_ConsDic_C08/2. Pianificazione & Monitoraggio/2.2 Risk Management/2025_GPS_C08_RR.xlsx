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4"/>
    <sheet state="visible" name="Impact Matrix" sheetId="2" r:id="rId5"/>
    <sheet state="visible" name="Copia di Register" sheetId="3" r:id="rId6"/>
    <sheet state="visible" name="Effetto Titanic" sheetId="4" r:id="rId7"/>
    <sheet state="visible" name="Top 10 20102025" sheetId="5" r:id="rId8"/>
    <sheet state="visible" name="Top 10 3112025" sheetId="6" r:id="rId9"/>
    <sheet state="visible" name="Top 10 17112025" sheetId="7" r:id="rId10"/>
    <sheet state="visible" name="Top 10 01122025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1">
      <text>
        <t xml:space="preserve">Definizione: È la persona o il ruolo responsabile di monitorare, gestire e implementare strategie per mitigare o gestire un rischio specifico.
Responsabilità:
Assicurarsi che il rischio venga monitorato durante tutto il progetto.
Identificare e implementare le azioni preventive e correttive (previste nei piani di mitigazione e contingenza).
Comunicare con i membri del team o stakeholder in merito allo stato del rischio.
	-GIUSEPPE NAPOLITANO</t>
      </text>
    </comment>
    <comment authorId="0" ref="S11">
      <text>
        <t xml:space="preserve">Risk Actionee
Definizione: È la persona o il ruolo incaricato di eseguire specifiche azioni legate alla mitigazione o al trattamento del rischio. Il Risk Actionee è, in pratica, chi concretamente "agisce" per gestire il rischio.
Responsabilità:
Eseguire le azioni preventive o correttive definite dal Risk Owner.
Fornire aggiornamenti al Risk Owner sul progresso delle azioni intraprese.
Assicurarsi che i piani siano messi in atto correttamente.
	-GIUSEPPE NAPOLITANO</t>
      </text>
    </comment>
  </commentList>
</comments>
</file>

<file path=xl/sharedStrings.xml><?xml version="1.0" encoding="utf-8"?>
<sst xmlns="http://schemas.openxmlformats.org/spreadsheetml/2006/main" count="1128" uniqueCount="295">
  <si>
    <t>Nome Progetto</t>
  </si>
  <si>
    <t>SafeGuard</t>
  </si>
  <si>
    <t>SEZIONE</t>
  </si>
  <si>
    <t>VALORI/ACRONIMI</t>
  </si>
  <si>
    <t>Identificativo Progetto</t>
  </si>
  <si>
    <t>C08</t>
  </si>
  <si>
    <t>CATEGORIA</t>
  </si>
  <si>
    <t>TECNOLOGIE [T]</t>
  </si>
  <si>
    <t>PERSONE [P]</t>
  </si>
  <si>
    <t>ORGANIZZATIVI [O]</t>
  </si>
  <si>
    <t>REQUISITI [R]</t>
  </si>
  <si>
    <t>STIME [S]</t>
  </si>
  <si>
    <t>Project Managers</t>
  </si>
  <si>
    <t xml:space="preserve">Giuseppe Napolitano - Pasquale Sorrentino </t>
  </si>
  <si>
    <t>IMPATTO</t>
  </si>
  <si>
    <t>CATASTROFICO [CAT], 1</t>
  </si>
  <si>
    <t>SIGNIFICATIVO [SIG], 0.75</t>
  </si>
  <si>
    <t>MODERATO [MOD], 0.50</t>
  </si>
  <si>
    <t>BASSO [BAS], 0.25</t>
  </si>
  <si>
    <t>Nome Team</t>
  </si>
  <si>
    <t>Team Magma</t>
  </si>
  <si>
    <t>STATUS</t>
  </si>
  <si>
    <t>ARRESTO [ARR]</t>
  </si>
  <si>
    <t>AZIONE URGENTE [URG]</t>
  </si>
  <si>
    <t>AZIONE [AZI]</t>
  </si>
  <si>
    <t>CONTROLLO [CON]</t>
  </si>
  <si>
    <t>Documento</t>
  </si>
  <si>
    <t>Risk Register</t>
  </si>
  <si>
    <t>PROBABILITA'</t>
  </si>
  <si>
    <t>FREQUENTE [FRE], 1</t>
  </si>
  <si>
    <t>PROBABILE [PROB], 0.50</t>
  </si>
  <si>
    <t>REMOTO [REM], 0.25</t>
  </si>
  <si>
    <t>IMPROBABILE [IMP], 0.10</t>
  </si>
  <si>
    <t>ID</t>
  </si>
  <si>
    <t>RANK</t>
  </si>
  <si>
    <t>NOME</t>
  </si>
  <si>
    <t>DESCRIZIONE</t>
  </si>
  <si>
    <t>CAUSA</t>
  </si>
  <si>
    <t>TRIGGER</t>
  </si>
  <si>
    <t>PREVENZIONE</t>
  </si>
  <si>
    <t>CONTINGENZA</t>
  </si>
  <si>
    <t>PREFERENZA</t>
  </si>
  <si>
    <t>RISK OWNER</t>
  </si>
  <si>
    <t>R1</t>
  </si>
  <si>
    <t>Difficoltà nell'apprendimento di nuove tecnologie</t>
  </si>
  <si>
    <t>Il team potrebbe avere difficoltà nell'apprendere nuove tecnologie necessarie</t>
  </si>
  <si>
    <t>T</t>
  </si>
  <si>
    <t xml:space="preserve"> Mancanza di esperienza del team con tecnologie scelte. </t>
  </si>
  <si>
    <t>Ritardi nelle attività di sviluppo Richieste frequenti</t>
  </si>
  <si>
    <t>•        Fornire formazione e risorse educative al team. •         Assegnare membri esperti alle attività critiche.</t>
  </si>
  <si>
    <t>•        Ridurre l'ambito del progetto o utilizzare tecnologie più familiari.   •        Assumere consulenti esterni esperti.</t>
  </si>
  <si>
    <t>Contingency        Nonostante formazione e risorse (prevenzione), il rischio di difficoltà resta. È meglio avere un piano B (ridurre l’ambito, assumere consulenti) se il problema persiste.</t>
  </si>
  <si>
    <t>Giuseppe Napolitano</t>
  </si>
  <si>
    <t>R2</t>
  </si>
  <si>
    <t>Fallimento e lentezza dei Sistemi Hardware</t>
  </si>
  <si>
    <t>Guasti e lentezza hardware potrebbero causare interruzioni e lentezza nello sviluppo o nell’implementazione.</t>
  </si>
  <si>
    <t>Uso di hardware obsoleto o inaffidabile</t>
  </si>
  <si>
    <t>•        Malfunzionamenti hardware durante lo sviluppo.
•        Interruzioni improvvise del sistema.</t>
  </si>
  <si>
    <t xml:space="preserve">•        Utilizzare hardware affidabile e aggiornato •        Effettuare manutenzione preventiva. </t>
  </si>
  <si>
    <t xml:space="preserve">•        Avere hardware di backup disponibile. •        Pianificare tempi di inattività per la riparazione o sostituzione. </t>
  </si>
  <si>
    <t>Avoidance	Scegliendo hardware affidabile ed effettuando manutenzione preventiva, è possibile minimizzare drasticamente questo rischio, puntando ad evitarlo fin dall’inizio.</t>
  </si>
  <si>
    <t>R3</t>
  </si>
  <si>
    <t>Turnover del Personale</t>
  </si>
  <si>
    <t>Membri chiave del team potrebbero lasciare il progetto, causando perdita di conoscenza e overhead del lavoro tra i membri del team</t>
  </si>
  <si>
    <t>P</t>
  </si>
  <si>
    <t>Insoddisfazione lavorativa, focus su altri progetti, problemi tra team members</t>
  </si>
  <si>
    <t xml:space="preserve">•        Calo della motivazione o della produttività.  •        Espressioni di insoddisfazione o interesse per altre opportunità.        </t>
  </si>
  <si>
    <t xml:space="preserve">•        Mantenere un ambiente di lavoro stimolante e positivo •        Incentivare il personale, offrendogli la possibilità di maturare e di crescere </t>
  </si>
  <si>
    <t xml:space="preserve">•        Avere un piano risolutivo per la rapida sostituzione del personale </t>
  </si>
  <si>
    <t>Contingency        Anche offrendo un buon ambiente lavorativo, il turnover può avvenire. È più realistico avere un piano di contingenza (documentazione, rimpiazzi rapidi) anziché evitare totalmente l’evento.</t>
  </si>
  <si>
    <t xml:space="preserve">Pasquale Sorrentino </t>
  </si>
  <si>
    <t>R4</t>
  </si>
  <si>
    <t>Conflitti interpersonali</t>
  </si>
  <si>
    <t>Disaccordi o conflitti tra i membri del team potrebbero influire negativamente sulla produttività.</t>
  </si>
  <si>
    <t>Differenze di personalità, stress lavorativo, effort differente tra i vari membri del team</t>
  </si>
  <si>
    <t>•        Comunicazione inefficace o assente •        Tensione tra i membri del team o pesanti litigi</t>
  </si>
  <si>
    <t>•        Promuovere una cultura di collaborazione e rispetto.
        •        Effettuare team building.</t>
  </si>
  <si>
    <t xml:space="preserve">•        Estinguere i i conflitti •        Riassegnare i ruoli ed eventualmente trovare un team leader che gestisca i membri del team </t>
  </si>
  <si>
    <t xml:space="preserve">Contingency È impossibile ridurre il numero di conflitti a zero, è inevitabile che i conflitti saranno sempre presenti. È possibile creare un clima positivo, ma bisogna saper gestire i conflitti nel caso emergano </t>
  </si>
  <si>
    <t>R5</t>
  </si>
  <si>
    <t>Requisiti Incompleti o Ambigui</t>
  </si>
  <si>
    <t>I requisiti del progetto potrebbero essere mal definiti, portando a incomprensioni e lavoro extra.</t>
  </si>
  <si>
    <t>R</t>
  </si>
  <si>
    <t>Inadeguata raccolta dei requisiti, mancanza di coinvolgimento degli stakeholder.</t>
  </si>
  <si>
    <t xml:space="preserve">•        Discrepanza nelle interpretazione dei vari requisiti    •        Domande frequenti relative ai requisiti </t>
  </si>
  <si>
    <t>•        Condurre sessioni dettagliate di raccolta dei requisiti  •        Coinvolgimento attivo degli stakeholder</t>
  </si>
  <si>
    <t>•        Revisione e aggiornamento dei requisiti.
•        Allocare tempo extra per gestire le modifiche.</t>
  </si>
  <si>
    <t>Avoidance	Con una raccolta requisiti accurata e coinvolgimento attivo degli stakeholder, si può prevenire gran parte del problema, riducendo il rischio in modo significativo.</t>
  </si>
  <si>
    <t>R6</t>
  </si>
  <si>
    <t xml:space="preserve">Sottostima dei tempi di Sviluppo </t>
  </si>
  <si>
    <t>Il tempo necessario per completare le attività potrebbe essere sottostimato, causando ritardi.</t>
  </si>
  <si>
    <t>S</t>
  </si>
  <si>
    <t>Eccessivo ottimismo, mancanza di dati storici da analizzare.</t>
  </si>
  <si>
    <t>•        Sovraccarico di lavoro da parte del tempo   •        Continui ritardi nelle consegne e nel lavoro</t>
  </si>
  <si>
    <t>•	Utilizzare tecniche di stima basate su dati reali.
	•	Coinvolgere il team nella stima delle attività.</t>
  </si>
  <si>
    <t xml:space="preserve">•	Riprogrammazione delle scadenze </t>
  </si>
  <si>
    <t>Avoidance	Stime più accurate, basate su dati storici e coinvolgimento del team, possono ridurre drasticamente la probabilità di sottostima, puntando all’evitamento del rischio.</t>
  </si>
  <si>
    <t>R7</t>
  </si>
  <si>
    <t>Mancata Considerazione di Attività Non Pianificate</t>
  </si>
  <si>
    <t>Attività non previste come bug fixing o supporto potrebbero non essere state incluse nelle stime.</t>
  </si>
  <si>
    <t>Focalizzazione esclusiva sulle attività pianificate</t>
  </si>
  <si>
    <t xml:space="preserve">•        Aumento delle attività programmate  •        Riduzione del completamento delle attività previste e pianificate </t>
  </si>
  <si>
    <t xml:space="preserve">•        Pianificazione e controlli settimanali   •        Monitare e registrare le nuove attività emergenti </t>
  </si>
  <si>
    <t>•        Rivedere le stime e gli obiettivi.
•        Allocare risorse per gestire le attività non pianificate.</t>
  </si>
  <si>
    <t>Avoidance	Includendo margini di tempo e monitorando le attività emergenti si riesce a prevenire il rischio piuttosto che affrontarlo a posteriori.</t>
  </si>
  <si>
    <t>R8</t>
  </si>
  <si>
    <t>Vulnerabilità di Sicurezza nell’Applicazione</t>
  </si>
  <si>
    <t>Possibili falle di sicurezza potrebbero esporre dati sensibili degli utenti o consentire accessi non autorizzati.</t>
  </si>
  <si>
    <t>Mancanza di implementazione di misure di sicurezza adeguate, assenza di test di sicurezza.</t>
  </si>
  <si>
    <t>•        Segnalazioni di accessi sospetti o violazioni.
•        Feedback negativo degli utenti riguardo alla sicurezza.</t>
  </si>
  <si>
    <t>•	Implementare protocolli di sicurezza robusti (es. crittografia, autenticazione a due fattori).
•	Condurre test di penetrazione e audit di sicurezza.</t>
  </si>
  <si>
    <t>•        Correggere immediatamente le vulnerabilità identificate.
•        Informare gli utenti e fornire istruzioni per proteggere i loro account.</t>
  </si>
  <si>
    <t>Avoidance	Attraverso protocolli di sicurezza robusti, test di penetrazione e audit, si può minimizzare al massimo il rischio di vulnerabilità, con un approccio orientato all’evitamento.</t>
  </si>
  <si>
    <t>R9</t>
  </si>
  <si>
    <t>Scalabilità Limitata della Piattaforma</t>
  </si>
  <si>
    <t>La piattaforma potrebbe non gestire efficacemente un aumento significativo del numero di utenti, causando rallentamenti o interruzioni.</t>
  </si>
  <si>
    <t>Architettura non scalabile, infrastruttura sottodimensionata. Sottostima del numero di utenti che accedono al sistema</t>
  </si>
  <si>
    <t>•	Tempi di risposta lenti.
•	Crash o downtime frequenti.</t>
  </si>
  <si>
    <t>•        Progettare un'architettura scalabile in maniera dinamica
•        Utilizzare servizi cloud che permettono di scalare le risorse dinamicamente.</t>
  </si>
  <si>
    <t>•        Ottimizzare il codice e le query al database.
•        Aggiornare l’infrastruttura aggiungendo risorse.</t>
  </si>
  <si>
    <t>Avoidance	Progettando l’architettura in modo scalabile fin dall’inizio e utilizzando servizi cloud, si mira a evitare il rischio di scalabilità limitata.</t>
  </si>
  <si>
    <t>R10</t>
  </si>
  <si>
    <t xml:space="preserve">Demotivazione dei membri del team </t>
  </si>
  <si>
    <t>Calo di motivazione tra i membri del team, portando a una diminuzione della produttività e della qualità del lavoro.</t>
  </si>
  <si>
    <t>Sovraccarico di lavoro, mancato riconoscimento, stress, mancanza di meritocrazia</t>
  </si>
  <si>
    <t>•        Ritardi nelle consegne.
•        Diminuzione dell’entusiasmo o partecipazione nelle riunioni.                           •        Assenza durante i meeting</t>
  </si>
  <si>
    <t>•        Promuovere un ambiente di lavoro positivo.
•        Riconoscere e premiare i contributi individuali.</t>
  </si>
  <si>
    <t>•	Tenere colloqui individuali per identificare le cause.
•	Riassegnare carichi di lavoro o offrire supporto aggiuntivo.</t>
  </si>
  <si>
    <t>Contingency        Nonostante le misure per mantenere un buon clima, la demotivazione può emergere. È più realistico preparare piani di contingenza (colloqui individuali, riassegnazione compiti).</t>
  </si>
  <si>
    <t>R11</t>
  </si>
  <si>
    <t>Non Conformità alle Normative sulla Privacy dei Dati</t>
  </si>
  <si>
    <t>Il progetto potrebbe non rispettare le normative sulla protezione dei dati (es. GDPR), esponendo l’azienda a sanzioni legali</t>
  </si>
  <si>
    <t>O</t>
  </si>
  <si>
    <t>Mancanza di competenze legali, sottovalutazione dei requisiti normativi.</t>
  </si>
  <si>
    <t>•	Assenza di policy sulla privacy nell’applicazione.
•	Reclami o segnalazioni da parte degli utenti.</t>
  </si>
  <si>
    <t>•	Consultare esperti legali durante lo sviluppo.
•	Implementare rigorose misure di protezione dei dati.</t>
  </si>
  <si>
    <t>•	Aggiornare immediatamente le pratiche per conformarsi alle normative.
•	Informare gli utenti delle misure correttive intraprese.</t>
  </si>
  <si>
    <t>Avoidance	Consultando esperti legali e implementando misure adeguate sin dall’inizio, si può puntare ad evitare questo rischio anziché dover agire a posteriori.</t>
  </si>
  <si>
    <t>Filomena Ferrucci</t>
  </si>
  <si>
    <t>R12</t>
  </si>
  <si>
    <t>Scarsa Adozione da Parte degli Utenti</t>
  </si>
  <si>
    <t>L’applicazione non riesce ad attirare un numero sufficiente di utenti, compromettendo gli obiettivi del progetto.</t>
  </si>
  <si>
    <t>Marketing inefficace, mancato coinvolgimento della comunità.</t>
  </si>
  <si>
    <t>•	Basso numero di registrazioni.
•	Feedback negativo o scarso engagement sulla piattaforma.</t>
  </si>
  <si>
    <t>•	Pianificare una strategia di marketing efficace.
•	Collaborare con enti locali e comunità per promuovere l’app.</t>
  </si>
  <si>
    <t>•	Rivedere e adattare le strategie di coinvolgimento.
•	Implementare nuove funzionalità basate sul feedback degli utenti.</t>
  </si>
  <si>
    <t>Contingency	Non si può garantire l’adozione. Si può promuovere, ma serve un piano di contingenza (feedback, nuove funzionalità) se gli utenti non adottano la piattaforma.</t>
  </si>
  <si>
    <t>R13</t>
  </si>
  <si>
    <t>Modifiche dei Requisiti in Fase Avanzata</t>
  </si>
  <si>
    <t>Cambiamenti significativi nei requisiti quando il progetto è già in una fase avanzata, causando ritardi e costi aggiuntivi.</t>
  </si>
  <si>
    <t>Nuove esigenze degli stakeholder, cambiamenti nelle normative ambientali.</t>
  </si>
  <si>
    <t>•        Richieste di aggiunta o modifica per le funzionalità chiave.
•        Insoddisfazione degli stakeholder con l’attuale direzione del progetto.</t>
  </si>
  <si>
    <t>•	Stabilire un processo chiaro per la gestione delle modifiche ai requisiti.
•	Coinvolgere regolarmente gli stakeholder per validare i progressi.</t>
  </si>
  <si>
    <t>•	Rinegoziare e riorganizzare scadenze e budget.
•	Prioritizzare le modifiche più critiche e pianificarle per fasi successive.</t>
  </si>
  <si>
    <t>Contingency	Anche definendo processi di change management, le modifiche tardive possono emergere. È più sensato avere un piano di contingenza per gestire i cambiamenti anziché evitarli del tutto.</t>
  </si>
  <si>
    <t>R14</t>
  </si>
  <si>
    <t>Sovraccarico di Lavoro per Alcuni Membri del Team</t>
  </si>
  <si>
    <t>Alcuni membri del team potrebbero essere sovraccarichi di lavoro, causando stress, burnout e diminuzione della qualità del lavoro.</t>
  </si>
  <si>
    <t>Distribuzione inefficiente dei compiti, scadenze aggressive, mancanza di risorse.</t>
  </si>
  <si>
    <t>•	Aumento delle ore di lavoro straordinario.
•	Segni di affaticamento o riduzione della motivazione.</t>
  </si>
  <si>
    <t>•	Monitorare la distribuzione del carico di lavoro tra i membri del team.
•	Pianificare realisticamente le scadenze e le capacità del team.</t>
  </si>
  <si>
    <t>•        Ridistribuire le attività tra i membri del team.
•        Assumere personale aggiuntivo o temporaneo.</t>
  </si>
  <si>
    <t>Contingency	Nonostante la pianificazione realistica, picchi di lavoro possono verificarsi. Meglio un piano di contingenza (ridistribuire attività, assumere aiuti) che tentare di eliminare il rischio completamente.</t>
  </si>
  <si>
    <t>R15</t>
  </si>
  <si>
    <t>Conflitto di Priorità con Altri Progetti Aziendali</t>
  </si>
  <si>
    <t>Il team potrebbe essere coinvolto in altri progetti, riducendo la disponibilità di risorse per SafeGuard e causando ritardi.</t>
  </si>
  <si>
    <t>Gestione inefficiente delle risorse, cambiamenti nelle priorità strategiche dell’azienda.</t>
  </si>
  <si>
    <t>•        Diminuzione del tempo dedicato al progetto SafeGuard.
•        Comunicazioni aziendali che assegnano priorità ad altri progetti.</t>
  </si>
  <si>
    <t>•	Definire chiaramente le priorità con la direzione aziendale.
•	Pianificare le risorse in modo da evitare sovrapposizioni di progetti.</t>
  </si>
  <si>
    <t>•	Negoziare nuove scadenze o risorse aggiuntive.
•	Esternalizzare alcune attività per alleviare il carico sul team interno.</t>
  </si>
  <si>
    <t>Contingency	Cambiamenti strategici aziendali possono avvenire anche con buone relazioni. Serve un piano per adattarsi se le priorità cambiano, quindi approccio di contingenza.</t>
  </si>
  <si>
    <t>R16</t>
  </si>
  <si>
    <t>Costi di Sviluppo Superiori alle Stime Iniziali</t>
  </si>
  <si>
    <t>Il costo effettivo dello sviluppo potrebbe superare le stime iniziali, causando problemi di budget e potenzialmente mettendo a rischio il completamento del progetto.</t>
  </si>
  <si>
    <t>Stime imprecise, costi imprevisti, inflazione dei prezzi.</t>
  </si>
  <si>
    <t>•	Superamento progressivo del budget assegnato.
•	Necessità di fondi aggiuntivi per completare le attività pianificate.</t>
  </si>
  <si>
    <t>•	Effettuare stime dettagliate e conservative coinvolgendo esperti.
•	Prevedere un margine di contingenza nel budget.</t>
  </si>
  <si>
    <t>•	Rinegoziare il budget con gli stakeholder o i finanziatori.
•	Ridurre l’ambito del progetto o identificare aree di risparmio.</t>
  </si>
  <si>
    <t>Contingency	Nonostante stime accurate, i costi possono sforare per fattori imprevedibili. È opportuno preparare un piano di contingenza (ridurre l’ambito, negoziare fondi aggiuntivi).</t>
  </si>
  <si>
    <t>R17</t>
  </si>
  <si>
    <t>Resistenza al Cambiamento da Parte degli Utenti</t>
  </si>
  <si>
    <t>Gli utenti potrebbero essere riluttanti ad adottare nuove tecnologie o a modificare le loro abitudini per utilizzare la piattaforma SafeGuard</t>
  </si>
  <si>
    <t>Abitudini consolidate, mancanza di fiducia nelle nuove tecnologie, utilizzo di altre tecnologie  (ad. esempio IT-Alert)</t>
  </si>
  <si>
    <t>•        Basso tasso di adozione nonostante gli sforzi di marketing.
•        Feedback negativo sull’usabilità o sull’utilità percepita della piattaforma.</t>
  </si>
  <si>
    <t>•        Educare gli utenti sui benefici della piattaforma.
•        Rendere l’interfaccia utente intuitiva e facile da usare.</t>
  </si>
  <si>
    <t>•        Raccogliere feedback per migliorare l’esperienza utente.</t>
  </si>
  <si>
    <t>Contingency        Non è possibile garantire l’accettazione del cambiamento da tutti. È più efficace prepararsi ad affrontare la resistenza (incentivi, miglioramenti UX) quando si verifica.</t>
  </si>
  <si>
    <t>R18</t>
  </si>
  <si>
    <t xml:space="preserve">Rifiuto dell'applicazione nello store </t>
  </si>
  <si>
    <t xml:space="preserve">Gli store ufficiali potrebbero rifiutare la pubblicazione dell'applicativo, in quanto non conforme alle linee guida </t>
  </si>
  <si>
    <t xml:space="preserve">Codice non conforme alle normative e/o alle normative imposte dal GDPR. </t>
  </si>
  <si>
    <t>•        Sospensione dell'applicativo durante la fase di caricamento   •        Messaggio inoltrato dal sistema dello store</t>
  </si>
  <si>
    <t xml:space="preserve">•        Studio dettagliato delle normative imposte dagli store ufficiali  •        Modifiche al codice, al fine di renderlo conforme alle linee guida </t>
  </si>
  <si>
    <t>•        Ricerca di store alternativi che consentono il caricamento dell'applicativo  •        Rendere l'applicativo scaricabile dal sito ufficiale della Protezione Civile</t>
  </si>
  <si>
    <t xml:space="preserve">Contingency      Nonostante uno studio approfondito delle linee guida è probabile che l'applicativo venga rifiutato. Il piano di contingenza prevede store alternativi funzionali o eventualmente la possibilità di caricarlo su siti ufficiali </t>
  </si>
  <si>
    <t>R19</t>
  </si>
  <si>
    <t>Perdita dei dati raccolti relativi alle calamità naturali e/o utenti</t>
  </si>
  <si>
    <t xml:space="preserve">Si potrebbe avere una perdita dei dati, relativi alle informazioni delle calamità o degli utenti registrati  </t>
  </si>
  <si>
    <t xml:space="preserve">Attacco Hacker, Calamità Naturale, Crash del sistema, malfunzionamento del Database o bug durante il salvataggio dei dati  </t>
  </si>
  <si>
    <t xml:space="preserve">•        Inconsistenza all'interno del database  •        Dati incompleti relativi a calamità naturali  •        Informazioni frammentate relative agli utenti registrati </t>
  </si>
  <si>
    <t xml:space="preserve">•        Backup frequenti del database   •        Crittografia del database  </t>
  </si>
  <si>
    <t xml:space="preserve">•        Utilizzo di architetture cloud    •        Migrazione dei dati su un sistema software dedicato per la sicurezza e salvaguardia dei dati </t>
  </si>
  <si>
    <t xml:space="preserve">Contingency Nonostante i backup frequenti o la crittografia del database, i dati potrebbero essere a rischio a causa di attacchi hacker. La contingenza creerebbe un "vault" dei dati sensibili. </t>
  </si>
  <si>
    <t>R20</t>
  </si>
  <si>
    <t xml:space="preserve">Criticità dei test nell'ambito reale </t>
  </si>
  <si>
    <t xml:space="preserve">I test effettuati durante la fase di Beta-Test hanno riscontrato delle problematiche durante il rilascio finale dell'applicativo </t>
  </si>
  <si>
    <t>Sottostima durante la fase di Beta test (in quanto il prodotto è stato testato su un numero ristretto di utenti)</t>
  </si>
  <si>
    <t xml:space="preserve">•        Rallentamenti dell'applicativo   •        Crash del sistema o alta latenza (10 secondi in su) </t>
  </si>
  <si>
    <t xml:space="preserve">•        Effettuare degli esperimenti in Vitro  •        Approccio incrementale nello sviluppo dell'applicazione </t>
  </si>
  <si>
    <t>•        Analisi delle cause del fallimento •        Manutenzione del server immediata  •        Ripianificazione del test con stakeholders</t>
  </si>
  <si>
    <t xml:space="preserve">Contingency Esperimenti in vitro o approcci incrementali non sopprimono il problema del tutto e problematiche di questa tipologia potrebbero verificarsi. Analizzare le cause del fallimento o effettuare manutenzione immediata estirperebbero il problema alla radice </t>
  </si>
  <si>
    <t>IMPROBABILE</t>
  </si>
  <si>
    <t>REMOTO</t>
  </si>
  <si>
    <t>R02</t>
  </si>
  <si>
    <t>R04  R20</t>
  </si>
  <si>
    <t>R09 R13</t>
  </si>
  <si>
    <t>R08 R11</t>
  </si>
  <si>
    <t>PROBABILE</t>
  </si>
  <si>
    <t>R14 R15</t>
  </si>
  <si>
    <t>R01 R05 R06 R07  R10 R12 R17 R18</t>
  </si>
  <si>
    <t>R16 R19</t>
  </si>
  <si>
    <t>FREQUENTE</t>
  </si>
  <si>
    <t>R03</t>
  </si>
  <si>
    <t xml:space="preserve"> BASSO</t>
  </si>
  <si>
    <t>MODERATO</t>
  </si>
  <si>
    <t>SIGNIFICATIVO</t>
  </si>
  <si>
    <t>CATASTROFICO</t>
  </si>
  <si>
    <t>Contingency	Nonostante le misure per mantenere un buon clima, la demotivazione può emergere. È più realistico preparare piani di contingenza (colloqui individuali, riassegnazione compiti).</t>
  </si>
  <si>
    <t>•        Segnalazioni di accessi sospetti o violazioni.
•        Feedback negativo degli utenti riguardo alla sicurezza.</t>
  </si>
  <si>
    <t>•	Progettare un'architettura scalabile in maniera dinamica
•	Utilizzare servizi cloud che permettono di scalare le risorse dinamicamente.</t>
  </si>
  <si>
    <t>•	Ottimizzare il codice e le query al database.
•	Aggiornare l’infrastruttura aggiungendo risorse.</t>
  </si>
  <si>
    <t>Rischio Primario</t>
  </si>
  <si>
    <t>Rischio Correlato</t>
  </si>
  <si>
    <t>Effetto Cumulativo</t>
  </si>
  <si>
    <t>Probabilità Combinata</t>
  </si>
  <si>
    <t>Impatto Combinato</t>
  </si>
  <si>
    <t>R4 - Conflitti Interpersonali</t>
  </si>
  <si>
    <t>R3 - Turnover del personale</t>
  </si>
  <si>
    <t>Rallentamenti nella consegna e perdita di risorse chiave del team</t>
  </si>
  <si>
    <t>R11 - Non Conformità alle Normative sulla Privacy dei Dati</t>
  </si>
  <si>
    <t xml:space="preserve">R18 - Rifiuto dell'applicazione nello store </t>
  </si>
  <si>
    <t xml:space="preserve">Inutilizzo dell'applicativo e violazione della legge </t>
  </si>
  <si>
    <t>R14 - Sovraccarico di Lavoro per Alcuni Membri del Team</t>
  </si>
  <si>
    <t xml:space="preserve">R10 - Demotivazione dei membri del team </t>
  </si>
  <si>
    <t>Rallentamenti nello sviluppo, nelle consegne e probabile perdita di risorse</t>
  </si>
  <si>
    <t>R9 - Scalabilità Limitata della Piattaforma</t>
  </si>
  <si>
    <t xml:space="preserve">R20 - Criticità dei test nell'ambito reale </t>
  </si>
  <si>
    <t xml:space="preserve">Aumento dei costi di manutenzione e di ristrutturazione del software, per essere conforme all'ambiente reale </t>
  </si>
  <si>
    <t>R5 - Requisiti Incompleti o Ambigui</t>
  </si>
  <si>
    <t>R13 - Modifiche dei Requisiti in Fase Avanzata</t>
  </si>
  <si>
    <t xml:space="preserve">Una scorretta definizione dei requisiti in fase prematura, può comportare dei rallentamenti nelle fase successive, e un maggiore sforzo lavorativo per migliorare i requisiti </t>
  </si>
  <si>
    <t xml:space="preserve">R6 - Sottostima dei tempi di Sviluppo </t>
  </si>
  <si>
    <t>R7 - Mancata Considerazione di Attività Non Pianificate</t>
  </si>
  <si>
    <t>Ritardi nella consegna e maggiore lavoro da parte dei membri del team nella creazione e svolgimento di nuove attività</t>
  </si>
  <si>
    <t>TOP 10 RISCHI DAL 20/10/2025 AL 3/11/2025</t>
  </si>
  <si>
    <t>Nome</t>
  </si>
  <si>
    <t>Rank</t>
  </si>
  <si>
    <t>History</t>
  </si>
  <si>
    <t>Descrizione</t>
  </si>
  <si>
    <t>Categoria</t>
  </si>
  <si>
    <t>Causa di Origine</t>
  </si>
  <si>
    <t>Triggers</t>
  </si>
  <si>
    <t>Prevenzione</t>
  </si>
  <si>
    <t>Contingenza</t>
  </si>
  <si>
    <t>Probabilità</t>
  </si>
  <si>
    <t>Impatto</t>
  </si>
  <si>
    <t>Status</t>
  </si>
  <si>
    <t>Risk Owner</t>
  </si>
  <si>
    <t>Risk Actionee</t>
  </si>
  <si>
    <t>Note</t>
  </si>
  <si>
    <t>Storico Rank</t>
  </si>
  <si>
    <t>Numero di settimane in Top</t>
  </si>
  <si>
    <t>Data di apertura</t>
  </si>
  <si>
    <t>Data di Aggiornamento</t>
  </si>
  <si>
    <t>Data di chiusura</t>
  </si>
  <si>
    <t>•        Rinegoziare il budget con gli stakeholder o i finanziatori.
•        Ridurre l’ambito del progetto o identificare aree di risparmio.</t>
  </si>
  <si>
    <t>Aperto</t>
  </si>
  <si>
    <t xml:space="preserve">Giuseppe Napolitano </t>
  </si>
  <si>
    <t xml:space="preserve">Sotto controllo </t>
  </si>
  <si>
    <t xml:space="preserve">I membri del team hanno riscontrato alcune problematiche nell'apprendimento di nuove tecnologie per la strutturazione degli statechart o sequence diagram; alcuni membri del team hanno affrontato la struttura UML per la prima volta. Si è deciso di assumere un consulente al fine di insegnare ai membri del team come utilizzare lo strumento </t>
  </si>
  <si>
    <t>Chiuso</t>
  </si>
  <si>
    <t>Pasquale Sorrentino</t>
  </si>
  <si>
    <t xml:space="preserve">È stato deciso di seguire un piano di avoidance, studiando accuratamente i requisiti presentati dai team member. Sono stati corretti nella formattazione e nella scrittura, affinchè quest'ultimi non vengano ripresi nella fase successiva del progetto. </t>
  </si>
  <si>
    <t xml:space="preserve">Aperto </t>
  </si>
  <si>
    <t>•        Tenere colloqui individuali per identificare le cause.
•        Riassegnare carichi di lavoro o offrire supporto aggiuntivo.</t>
  </si>
  <si>
    <t xml:space="preserve">In seguito alla demotivazione di alcuni membri del team, si è deciso di tenere dei colloqui individuali per identificare le cause della demotivazione. Alcuni team members, infatti, si sentivano poco appagati durante la prima fase del progetto; questa problematica è stata momentaneamente mitigata </t>
  </si>
  <si>
    <t>TOP 10 RISCHI DAL 3/11/2025 AL 17/11/2025</t>
  </si>
  <si>
    <t xml:space="preserve">I membri del team hanno riscontrato delle problematiche nell'utilizzo di nuove tecnologie, quali FIGMA o la stesura del RAD. Si è deciso di attuare un piano di contingenza, assumendo una figura preparata che potesse insegnare ai membri come utilizzare e sviluppare alcuni aspetti del RAD e dei mockup. </t>
  </si>
  <si>
    <t>•        Utilizzare tecniche di stima basate su dati reali.
        •        Coinvolgere il team nella stima delle attività.</t>
  </si>
  <si>
    <t xml:space="preserve">•        Riprogrammazione delle scadenze </t>
  </si>
  <si>
    <t>TOP 10 RISCHI DAL 17/11/2025 AL 01/12/2025</t>
  </si>
  <si>
    <t xml:space="preserve">I membri del team hanno riscontrato delle problematiche nella stesura del SDD e dell'ODD. I team member, in particolare, hanno riscontrato difficoltà nella suddivisione in sotto sistemi e l'individuazione dei design pattern. Si è deciso di attuare un piano di contingenza, assumendo una figura preparata che potesse insegnare ai membri come procedere con la struttura del documento. </t>
  </si>
  <si>
    <t>La mancata conoscenza dei team member nello sviluppo di alcune funzionalità ha causato dei brevi rallentamenti durante lo sviluppo del sistema. Si è deciso di rivedere le stime e gli obiettivi, e di allocare maggiori risorse per la gestione delle attività non pianificate</t>
  </si>
  <si>
    <t xml:space="preserve">Alcuni membri del team hanno iniziato a mostrare segni di noia e disinteresse nella fase avanzata del progetto, causato, probabilmente, da altri progetti da sviluppare o motivi personali. Si è deciso di tenere colloqui individuali per mitigare tali cause e riassegnare il carico di lavoro o offrire maggiore supporto </t>
  </si>
  <si>
    <t>TOP 10 RISCHI DAL 01/12/2025 AL 15/12/2025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</si>
</sst>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"/>
    <numFmt numFmtId="166" formatCode="dd/mm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&quot;Century Gothic&quot;"/>
    </font>
    <font>
      <sz val="12.0"/>
      <color rgb="FF000000"/>
      <name val="&quot;Century Gothic&quot;"/>
    </font>
    <font>
      <b/>
      <sz val="12.0"/>
      <color rgb="FF000000"/>
      <name val="&quot;Century Gothic&quot;"/>
    </font>
  </fonts>
  <fills count="1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0" fillId="2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top" wrapText="1"/>
    </xf>
    <xf borderId="5" fillId="4" fontId="1" numFmtId="0" xfId="0" applyAlignment="1" applyBorder="1" applyFill="1" applyFont="1">
      <alignment readingOrder="0"/>
    </xf>
    <xf borderId="5" fillId="5" fontId="1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readingOrder="0" shrinkToFit="0" vertical="center" wrapText="1"/>
    </xf>
    <xf borderId="5" fillId="7" fontId="1" numFmtId="0" xfId="0" applyAlignment="1" applyBorder="1" applyFont="1">
      <alignment horizontal="center" readingOrder="0" vertical="center"/>
    </xf>
    <xf borderId="5" fillId="8" fontId="1" numFmtId="0" xfId="0" applyAlignment="1" applyBorder="1" applyFill="1" applyFont="1">
      <alignment horizontal="center" readingOrder="0" vertical="center"/>
    </xf>
    <xf borderId="5" fillId="8" fontId="1" numFmtId="0" xfId="0" applyAlignment="1" applyBorder="1" applyFont="1">
      <alignment horizontal="center" readingOrder="0" shrinkToFit="0" vertical="center" wrapText="1"/>
    </xf>
    <xf borderId="5" fillId="9" fontId="1" numFmtId="0" xfId="0" applyAlignment="1" applyBorder="1" applyFill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5" fillId="10" fontId="1" numFmtId="0" xfId="0" applyAlignment="1" applyBorder="1" applyFill="1" applyFont="1">
      <alignment horizontal="center" vertical="center"/>
    </xf>
    <xf borderId="5" fillId="4" fontId="1" numFmtId="0" xfId="0" applyBorder="1" applyFont="1"/>
    <xf borderId="0" fillId="6" fontId="3" numFmtId="0" xfId="0" applyAlignment="1" applyFont="1">
      <alignment horizontal="center" vertical="center"/>
    </xf>
    <xf borderId="0" fillId="2" fontId="5" numFmtId="0" xfId="0" applyAlignment="1" applyFont="1">
      <alignment readingOrder="0"/>
    </xf>
    <xf borderId="0" fillId="11" fontId="5" numFmtId="0" xfId="0" applyAlignment="1" applyFill="1" applyFont="1">
      <alignment readingOrder="0"/>
    </xf>
    <xf borderId="0" fillId="3" fontId="1" numFmtId="0" xfId="0" applyAlignment="1" applyFont="1">
      <alignment readingOrder="0" shrinkToFit="0" vertical="top" wrapText="1"/>
    </xf>
    <xf borderId="0" fillId="3" fontId="6" numFmtId="0" xfId="0" applyAlignment="1" applyFont="1">
      <alignment horizontal="center" readingOrder="0" shrinkToFit="0" vertical="center" wrapText="0"/>
    </xf>
    <xf borderId="0" fillId="11" fontId="6" numFmtId="0" xfId="0" applyAlignment="1" applyFont="1">
      <alignment horizontal="center" shrinkToFit="0" vertical="center" wrapText="0"/>
    </xf>
    <xf borderId="0" fillId="12" fontId="1" numFmtId="0" xfId="0" applyAlignment="1" applyFill="1" applyFont="1">
      <alignment readingOrder="0" shrinkToFit="0" vertical="top" wrapText="1"/>
    </xf>
    <xf borderId="0" fillId="12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12" fontId="7" numFmtId="0" xfId="0" applyAlignment="1" applyFont="1">
      <alignment readingOrder="0" shrinkToFit="0" vertical="top" wrapText="1"/>
    </xf>
    <xf borderId="0" fillId="12" fontId="8" numFmtId="0" xfId="0" applyAlignment="1" applyFont="1">
      <alignment horizontal="center" readingOrder="0" vertical="center"/>
    </xf>
    <xf borderId="0" fillId="3" fontId="1" numFmtId="0" xfId="0" applyAlignment="1" applyFont="1">
      <alignment horizontal="left" readingOrder="0" shrinkToFit="0" vertical="top" wrapText="1"/>
    </xf>
    <xf borderId="0" fillId="12" fontId="1" numFmtId="0" xfId="0" applyAlignment="1" applyFont="1">
      <alignment horizontal="left" readingOrder="0" shrinkToFit="0" vertical="top" wrapText="1"/>
    </xf>
    <xf borderId="0" fillId="0" fontId="6" numFmtId="0" xfId="0" applyFont="1"/>
    <xf borderId="0" fillId="0" fontId="9" numFmtId="0" xfId="0" applyAlignment="1" applyFont="1">
      <alignment readingOrder="0"/>
    </xf>
    <xf borderId="0" fillId="11" fontId="1" numFmtId="0" xfId="0" applyAlignment="1" applyFont="1">
      <alignment horizontal="center" readingOrder="0"/>
    </xf>
    <xf borderId="0" fillId="11" fontId="3" numFmtId="0" xfId="0" applyAlignment="1" applyFont="1">
      <alignment horizontal="center" readingOrder="0" vertical="bottom"/>
    </xf>
    <xf borderId="0" fillId="11" fontId="1" numFmtId="0" xfId="0" applyAlignment="1" applyFont="1">
      <alignment horizontal="center" readingOrder="0" vertical="center"/>
    </xf>
    <xf borderId="0" fillId="11" fontId="6" numFmtId="0" xfId="0" applyAlignment="1" applyFont="1">
      <alignment horizontal="center" vertical="center"/>
    </xf>
    <xf borderId="0" fillId="11" fontId="1" numFmtId="0" xfId="0" applyAlignment="1" applyFont="1">
      <alignment horizontal="center" readingOrder="0" shrinkToFit="0" vertical="center" wrapText="1"/>
    </xf>
    <xf borderId="0" fillId="11" fontId="6" numFmtId="0" xfId="0" applyAlignment="1" applyFont="1">
      <alignment horizontal="center" readingOrder="0" vertical="center"/>
    </xf>
    <xf borderId="6" fillId="2" fontId="10" numFmtId="0" xfId="0" applyAlignment="1" applyBorder="1" applyFont="1">
      <alignment horizontal="center" readingOrder="0" vertical="center"/>
    </xf>
    <xf borderId="7" fillId="2" fontId="10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6" fillId="2" fontId="10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5" fillId="2" fontId="10" numFmtId="0" xfId="0" applyAlignment="1" applyBorder="1" applyFont="1">
      <alignment horizontal="center" readingOrder="0" vertical="center"/>
    </xf>
    <xf borderId="5" fillId="2" fontId="10" numFmtId="0" xfId="0" applyAlignment="1" applyBorder="1" applyFont="1">
      <alignment horizontal="center" readingOrder="0" shrinkToFit="0" vertical="center" wrapText="1"/>
    </xf>
    <xf borderId="5" fillId="3" fontId="11" numFmtId="0" xfId="0" applyAlignment="1" applyBorder="1" applyFont="1">
      <alignment horizontal="left" shrinkToFit="0" vertical="top" wrapText="1"/>
    </xf>
    <xf borderId="5" fillId="3" fontId="12" numFmtId="0" xfId="0" applyAlignment="1" applyBorder="1" applyFont="1">
      <alignment horizontal="center" vertical="center"/>
    </xf>
    <xf borderId="5" fillId="3" fontId="11" numFmtId="0" xfId="0" applyAlignment="1" applyBorder="1" applyFont="1">
      <alignment horizontal="center"/>
    </xf>
    <xf borderId="5" fillId="3" fontId="11" numFmtId="0" xfId="0" applyAlignment="1" applyBorder="1" applyFont="1">
      <alignment horizontal="center" readingOrder="0" vertical="center"/>
    </xf>
    <xf borderId="5" fillId="3" fontId="11" numFmtId="164" xfId="0" applyAlignment="1" applyBorder="1" applyFont="1" applyNumberFormat="1">
      <alignment horizontal="center" readingOrder="0" vertical="center"/>
    </xf>
    <xf borderId="5" fillId="3" fontId="11" numFmtId="0" xfId="0" applyAlignment="1" applyBorder="1" applyFont="1">
      <alignment horizontal="center" vertical="center"/>
    </xf>
    <xf borderId="5" fillId="3" fontId="11" numFmtId="0" xfId="0" applyAlignment="1" applyBorder="1" applyFont="1">
      <alignment horizontal="left" readingOrder="0" shrinkToFit="0" vertical="top" wrapText="1"/>
    </xf>
    <xf borderId="5" fillId="3" fontId="12" numFmtId="0" xfId="0" applyAlignment="1" applyBorder="1" applyFont="1">
      <alignment horizontal="center" readingOrder="0" vertical="center"/>
    </xf>
    <xf borderId="5" fillId="3" fontId="11" numFmtId="0" xfId="0" applyAlignment="1" applyBorder="1" applyFont="1">
      <alignment horizontal="center" readingOrder="0" shrinkToFit="0" vertical="top" wrapText="1"/>
    </xf>
    <xf borderId="5" fillId="12" fontId="11" numFmtId="0" xfId="0" applyAlignment="1" applyBorder="1" applyFont="1">
      <alignment horizontal="left" shrinkToFit="0" vertical="top" wrapText="1"/>
    </xf>
    <xf borderId="5" fillId="12" fontId="12" numFmtId="0" xfId="0" applyAlignment="1" applyBorder="1" applyFont="1">
      <alignment horizontal="center" vertical="center"/>
    </xf>
    <xf borderId="5" fillId="12" fontId="11" numFmtId="0" xfId="0" applyAlignment="1" applyBorder="1" applyFont="1">
      <alignment horizontal="center"/>
    </xf>
    <xf borderId="5" fillId="12" fontId="11" numFmtId="0" xfId="0" applyAlignment="1" applyBorder="1" applyFont="1">
      <alignment horizontal="center" readingOrder="0" vertical="center"/>
    </xf>
    <xf borderId="5" fillId="12" fontId="11" numFmtId="164" xfId="0" applyAlignment="1" applyBorder="1" applyFont="1" applyNumberFormat="1">
      <alignment horizontal="center" readingOrder="0" vertical="center"/>
    </xf>
    <xf borderId="5" fillId="12" fontId="11" numFmtId="0" xfId="0" applyAlignment="1" applyBorder="1" applyFont="1">
      <alignment horizontal="left" readingOrder="0" shrinkToFit="0" vertical="top" wrapText="1"/>
    </xf>
    <xf borderId="5" fillId="12" fontId="12" numFmtId="0" xfId="0" applyAlignment="1" applyBorder="1" applyFont="1">
      <alignment horizontal="center" readingOrder="0" vertical="center"/>
    </xf>
    <xf borderId="5" fillId="12" fontId="11" numFmtId="0" xfId="0" applyAlignment="1" applyBorder="1" applyFont="1">
      <alignment horizontal="center" readingOrder="0" shrinkToFit="0" vertical="top" wrapText="1"/>
    </xf>
    <xf borderId="5" fillId="3" fontId="11" numFmtId="165" xfId="0" applyAlignment="1" applyBorder="1" applyFont="1" applyNumberFormat="1">
      <alignment horizontal="center" readingOrder="0" vertical="center"/>
    </xf>
    <xf borderId="5" fillId="3" fontId="12" numFmtId="0" xfId="0" applyAlignment="1" applyBorder="1" applyFont="1">
      <alignment horizontal="center" readingOrder="0" shrinkToFit="0" vertical="center" wrapText="1"/>
    </xf>
    <xf borderId="5" fillId="12" fontId="11" numFmtId="165" xfId="0" applyAlignment="1" applyBorder="1" applyFont="1" applyNumberFormat="1">
      <alignment horizontal="center" readingOrder="0" vertical="center"/>
    </xf>
    <xf borderId="5" fillId="12" fontId="12" numFmtId="0" xfId="0" applyAlignment="1" applyBorder="1" applyFont="1">
      <alignment horizontal="center" readingOrder="0" shrinkToFit="0" vertical="center" wrapText="1"/>
    </xf>
    <xf borderId="10" fillId="12" fontId="11" numFmtId="0" xfId="0" applyAlignment="1" applyBorder="1" applyFont="1">
      <alignment horizontal="left" shrinkToFit="0" vertical="top" wrapText="1"/>
    </xf>
    <xf borderId="10" fillId="12" fontId="12" numFmtId="0" xfId="0" applyAlignment="1" applyBorder="1" applyFont="1">
      <alignment horizontal="center" vertical="center"/>
    </xf>
    <xf borderId="10" fillId="12" fontId="11" numFmtId="0" xfId="0" applyAlignment="1" applyBorder="1" applyFont="1">
      <alignment horizontal="center"/>
    </xf>
    <xf borderId="10" fillId="12" fontId="11" numFmtId="0" xfId="0" applyAlignment="1" applyBorder="1" applyFont="1">
      <alignment horizontal="center" readingOrder="0" vertical="center"/>
    </xf>
    <xf borderId="10" fillId="12" fontId="11" numFmtId="164" xfId="0" applyAlignment="1" applyBorder="1" applyFont="1" applyNumberFormat="1">
      <alignment horizontal="center" readingOrder="0" vertical="center"/>
    </xf>
    <xf borderId="10" fillId="12" fontId="11" numFmtId="0" xfId="0" applyAlignment="1" applyBorder="1" applyFont="1">
      <alignment horizontal="left" readingOrder="0" shrinkToFit="0" vertical="top" wrapText="1"/>
    </xf>
    <xf borderId="10" fillId="12" fontId="12" numFmtId="0" xfId="0" applyAlignment="1" applyBorder="1" applyFont="1">
      <alignment horizontal="center" readingOrder="0" vertical="center"/>
    </xf>
    <xf borderId="10" fillId="12" fontId="11" numFmtId="0" xfId="0" applyAlignment="1" applyBorder="1" applyFont="1">
      <alignment horizontal="center" readingOrder="0" shrinkToFit="0" vertical="top" wrapText="1"/>
    </xf>
    <xf borderId="0" fillId="11" fontId="1" numFmtId="0" xfId="0" applyFont="1"/>
    <xf borderId="10" fillId="3" fontId="11" numFmtId="0" xfId="0" applyAlignment="1" applyBorder="1" applyFont="1">
      <alignment horizontal="left" shrinkToFit="0" vertical="top" wrapText="1"/>
    </xf>
    <xf borderId="10" fillId="3" fontId="12" numFmtId="0" xfId="0" applyAlignment="1" applyBorder="1" applyFont="1">
      <alignment horizontal="center" vertical="center"/>
    </xf>
    <xf borderId="10" fillId="3" fontId="11" numFmtId="0" xfId="0" applyAlignment="1" applyBorder="1" applyFont="1">
      <alignment horizontal="center"/>
    </xf>
    <xf borderId="10" fillId="3" fontId="11" numFmtId="0" xfId="0" applyAlignment="1" applyBorder="1" applyFont="1">
      <alignment horizontal="center" readingOrder="0" vertical="center"/>
    </xf>
    <xf borderId="10" fillId="3" fontId="11" numFmtId="164" xfId="0" applyAlignment="1" applyBorder="1" applyFont="1" applyNumberFormat="1">
      <alignment horizontal="center" readingOrder="0" vertical="center"/>
    </xf>
    <xf borderId="10" fillId="3" fontId="11" numFmtId="0" xfId="0" applyAlignment="1" applyBorder="1" applyFont="1">
      <alignment horizontal="left" readingOrder="0" shrinkToFit="0" vertical="top" wrapText="1"/>
    </xf>
    <xf borderId="10" fillId="3" fontId="12" numFmtId="0" xfId="0" applyAlignment="1" applyBorder="1" applyFont="1">
      <alignment horizontal="center" readingOrder="0" vertical="center"/>
    </xf>
    <xf borderId="10" fillId="3" fontId="11" numFmtId="0" xfId="0" applyAlignment="1" applyBorder="1" applyFont="1">
      <alignment horizontal="center" readingOrder="0" shrinkToFit="0" vertical="top" wrapText="1"/>
    </xf>
    <xf borderId="5" fillId="12" fontId="12" numFmtId="0" xfId="0" applyAlignment="1" applyBorder="1" applyFont="1">
      <alignment horizontal="center" vertical="center"/>
    </xf>
    <xf borderId="5" fillId="12" fontId="11" numFmtId="16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38.13"/>
    <col customWidth="1" min="4" max="4" width="23.13"/>
    <col customWidth="1" min="5" max="5" width="15.63"/>
    <col customWidth="1" min="6" max="6" width="24.63"/>
    <col customWidth="1" min="7" max="7" width="25.88"/>
    <col customWidth="1" min="8" max="8" width="22.13"/>
    <col customWidth="1" min="9" max="9" width="23.75"/>
    <col customWidth="1" min="10" max="10" width="18.38"/>
    <col customWidth="1" min="11" max="11" width="17.63"/>
    <col customWidth="1" min="12" max="12" width="17.13"/>
    <col customWidth="1" min="13" max="13" width="23.25"/>
  </cols>
  <sheetData>
    <row r="2">
      <c r="B2" s="1" t="s">
        <v>0</v>
      </c>
      <c r="C2" s="2" t="s">
        <v>1</v>
      </c>
      <c r="E2" s="1" t="s">
        <v>2</v>
      </c>
      <c r="F2" s="3" t="s">
        <v>3</v>
      </c>
      <c r="G2" s="4"/>
      <c r="H2" s="4"/>
      <c r="I2" s="4"/>
      <c r="J2" s="5"/>
    </row>
    <row r="3">
      <c r="B3" s="1" t="s">
        <v>4</v>
      </c>
      <c r="C3" s="2" t="s">
        <v>5</v>
      </c>
      <c r="E3" s="6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>
      <c r="B4" s="1" t="s">
        <v>12</v>
      </c>
      <c r="C4" s="2" t="s">
        <v>13</v>
      </c>
      <c r="E4" s="6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7"/>
    </row>
    <row r="5">
      <c r="B5" s="1" t="s">
        <v>19</v>
      </c>
      <c r="C5" s="2" t="s">
        <v>20</v>
      </c>
      <c r="E5" s="6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7"/>
    </row>
    <row r="6">
      <c r="B6" s="1" t="s">
        <v>26</v>
      </c>
      <c r="C6" s="2" t="s">
        <v>27</v>
      </c>
      <c r="E6" s="6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7"/>
    </row>
    <row r="9">
      <c r="A9" s="8" t="s">
        <v>33</v>
      </c>
      <c r="B9" s="8" t="s">
        <v>34</v>
      </c>
      <c r="C9" s="8" t="s">
        <v>35</v>
      </c>
      <c r="D9" s="8" t="s">
        <v>36</v>
      </c>
      <c r="E9" s="8" t="s">
        <v>6</v>
      </c>
      <c r="F9" s="8" t="s">
        <v>37</v>
      </c>
      <c r="G9" s="8" t="s">
        <v>38</v>
      </c>
      <c r="H9" s="8" t="s">
        <v>39</v>
      </c>
      <c r="I9" s="8" t="s">
        <v>40</v>
      </c>
      <c r="J9" s="8" t="s">
        <v>41</v>
      </c>
      <c r="K9" s="8" t="s">
        <v>28</v>
      </c>
      <c r="L9" s="8" t="s">
        <v>14</v>
      </c>
      <c r="M9" s="8" t="s">
        <v>42</v>
      </c>
    </row>
    <row r="10" ht="38.25" customHeight="1">
      <c r="A10" s="9" t="s">
        <v>43</v>
      </c>
      <c r="B10" s="10">
        <f t="shared" ref="B10:B29" si="1">K10*L10*100</f>
        <v>37.5</v>
      </c>
      <c r="C10" s="11" t="s">
        <v>44</v>
      </c>
      <c r="D10" s="12" t="s">
        <v>45</v>
      </c>
      <c r="E10" s="13" t="s">
        <v>46</v>
      </c>
      <c r="F10" s="11" t="s">
        <v>47</v>
      </c>
      <c r="G10" s="11" t="s">
        <v>48</v>
      </c>
      <c r="H10" s="11" t="s">
        <v>49</v>
      </c>
      <c r="I10" s="11" t="s">
        <v>50</v>
      </c>
      <c r="J10" s="11" t="s">
        <v>51</v>
      </c>
      <c r="K10" s="14">
        <v>0.5</v>
      </c>
      <c r="L10" s="14">
        <v>0.75</v>
      </c>
      <c r="M10" s="14" t="s">
        <v>52</v>
      </c>
    </row>
    <row r="11" ht="36.75" customHeight="1">
      <c r="A11" s="9" t="s">
        <v>53</v>
      </c>
      <c r="B11" s="10">
        <f t="shared" si="1"/>
        <v>18.75</v>
      </c>
      <c r="C11" s="11" t="s">
        <v>54</v>
      </c>
      <c r="D11" s="12" t="s">
        <v>55</v>
      </c>
      <c r="E11" s="15" t="s">
        <v>46</v>
      </c>
      <c r="F11" s="11" t="s">
        <v>56</v>
      </c>
      <c r="G11" s="11" t="s">
        <v>57</v>
      </c>
      <c r="H11" s="11" t="s">
        <v>58</v>
      </c>
      <c r="I11" s="11" t="s">
        <v>59</v>
      </c>
      <c r="J11" s="11" t="s">
        <v>60</v>
      </c>
      <c r="K11" s="16">
        <v>0.25</v>
      </c>
      <c r="L11" s="16">
        <v>0.75</v>
      </c>
      <c r="M11" s="16" t="s">
        <v>52</v>
      </c>
    </row>
    <row r="12" ht="39.75" customHeight="1">
      <c r="A12" s="17" t="s">
        <v>61</v>
      </c>
      <c r="B12" s="10">
        <f t="shared" si="1"/>
        <v>7.5</v>
      </c>
      <c r="C12" s="11" t="s">
        <v>62</v>
      </c>
      <c r="D12" s="12" t="s">
        <v>63</v>
      </c>
      <c r="E12" s="15" t="s">
        <v>64</v>
      </c>
      <c r="F12" s="11" t="s">
        <v>65</v>
      </c>
      <c r="G12" s="11" t="s">
        <v>66</v>
      </c>
      <c r="H12" s="11" t="s">
        <v>67</v>
      </c>
      <c r="I12" s="11" t="s">
        <v>68</v>
      </c>
      <c r="J12" s="11" t="s">
        <v>69</v>
      </c>
      <c r="K12" s="16">
        <v>0.1</v>
      </c>
      <c r="L12" s="16">
        <v>0.75</v>
      </c>
      <c r="M12" s="16" t="s">
        <v>70</v>
      </c>
    </row>
    <row r="13" ht="33.75" customHeight="1">
      <c r="A13" s="9" t="s">
        <v>71</v>
      </c>
      <c r="B13" s="10">
        <f t="shared" si="1"/>
        <v>12.5</v>
      </c>
      <c r="C13" s="11" t="s">
        <v>72</v>
      </c>
      <c r="D13" s="12" t="s">
        <v>73</v>
      </c>
      <c r="E13" s="15" t="s">
        <v>64</v>
      </c>
      <c r="F13" s="11" t="s">
        <v>74</v>
      </c>
      <c r="G13" s="11" t="s">
        <v>75</v>
      </c>
      <c r="H13" s="11" t="s">
        <v>76</v>
      </c>
      <c r="I13" s="11" t="s">
        <v>77</v>
      </c>
      <c r="J13" s="11" t="s">
        <v>78</v>
      </c>
      <c r="K13" s="14">
        <v>0.25</v>
      </c>
      <c r="L13" s="14">
        <v>0.5</v>
      </c>
      <c r="M13" s="14" t="s">
        <v>70</v>
      </c>
    </row>
    <row r="14" ht="36.75" customHeight="1">
      <c r="A14" s="9" t="s">
        <v>79</v>
      </c>
      <c r="B14" s="10">
        <f t="shared" si="1"/>
        <v>37.5</v>
      </c>
      <c r="C14" s="11" t="s">
        <v>80</v>
      </c>
      <c r="D14" s="12" t="s">
        <v>81</v>
      </c>
      <c r="E14" s="15" t="s">
        <v>82</v>
      </c>
      <c r="F14" s="11" t="s">
        <v>83</v>
      </c>
      <c r="G14" s="11" t="s">
        <v>84</v>
      </c>
      <c r="H14" s="11" t="s">
        <v>85</v>
      </c>
      <c r="I14" s="11" t="s">
        <v>86</v>
      </c>
      <c r="J14" s="11" t="s">
        <v>87</v>
      </c>
      <c r="K14" s="14">
        <v>0.5</v>
      </c>
      <c r="L14" s="14">
        <v>0.75</v>
      </c>
      <c r="M14" s="14" t="s">
        <v>52</v>
      </c>
    </row>
    <row r="15" ht="35.25" customHeight="1">
      <c r="A15" s="9" t="s">
        <v>88</v>
      </c>
      <c r="B15" s="10">
        <f t="shared" si="1"/>
        <v>37.5</v>
      </c>
      <c r="C15" s="11" t="s">
        <v>89</v>
      </c>
      <c r="D15" s="12" t="s">
        <v>90</v>
      </c>
      <c r="E15" s="13" t="s">
        <v>91</v>
      </c>
      <c r="F15" s="11" t="s">
        <v>92</v>
      </c>
      <c r="G15" s="11" t="s">
        <v>93</v>
      </c>
      <c r="H15" s="11" t="s">
        <v>94</v>
      </c>
      <c r="I15" s="11" t="s">
        <v>95</v>
      </c>
      <c r="J15" s="11" t="s">
        <v>96</v>
      </c>
      <c r="K15" s="14">
        <v>0.5</v>
      </c>
      <c r="L15" s="14">
        <v>0.75</v>
      </c>
      <c r="M15" s="14" t="s">
        <v>70</v>
      </c>
    </row>
    <row r="16" ht="33.75" customHeight="1">
      <c r="A16" s="9" t="s">
        <v>97</v>
      </c>
      <c r="B16" s="10">
        <f t="shared" si="1"/>
        <v>37.5</v>
      </c>
      <c r="C16" s="11" t="s">
        <v>98</v>
      </c>
      <c r="D16" s="12" t="s">
        <v>99</v>
      </c>
      <c r="E16" s="15" t="s">
        <v>91</v>
      </c>
      <c r="F16" s="11" t="s">
        <v>100</v>
      </c>
      <c r="G16" s="11" t="s">
        <v>101</v>
      </c>
      <c r="H16" s="11" t="s">
        <v>102</v>
      </c>
      <c r="I16" s="11" t="s">
        <v>103</v>
      </c>
      <c r="J16" s="11" t="s">
        <v>104</v>
      </c>
      <c r="K16" s="14">
        <v>0.5</v>
      </c>
      <c r="L16" s="14">
        <v>0.75</v>
      </c>
      <c r="M16" s="14" t="s">
        <v>52</v>
      </c>
    </row>
    <row r="17" ht="39.0" customHeight="1">
      <c r="A17" s="9" t="s">
        <v>105</v>
      </c>
      <c r="B17" s="10">
        <f t="shared" si="1"/>
        <v>25</v>
      </c>
      <c r="C17" s="11" t="s">
        <v>106</v>
      </c>
      <c r="D17" s="12" t="s">
        <v>107</v>
      </c>
      <c r="E17" s="15" t="s">
        <v>46</v>
      </c>
      <c r="F17" s="11" t="s">
        <v>108</v>
      </c>
      <c r="G17" s="18" t="s">
        <v>109</v>
      </c>
      <c r="H17" s="11" t="s">
        <v>110</v>
      </c>
      <c r="I17" s="11" t="s">
        <v>111</v>
      </c>
      <c r="J17" s="11" t="s">
        <v>112</v>
      </c>
      <c r="K17" s="14">
        <v>0.25</v>
      </c>
      <c r="L17" s="14">
        <v>1.0</v>
      </c>
      <c r="M17" s="14" t="s">
        <v>52</v>
      </c>
    </row>
    <row r="18" ht="36.0" customHeight="1">
      <c r="A18" s="9" t="s">
        <v>113</v>
      </c>
      <c r="B18" s="10">
        <f t="shared" si="1"/>
        <v>18.75</v>
      </c>
      <c r="C18" s="11" t="s">
        <v>114</v>
      </c>
      <c r="D18" s="12" t="s">
        <v>115</v>
      </c>
      <c r="E18" s="15" t="s">
        <v>46</v>
      </c>
      <c r="F18" s="11" t="s">
        <v>116</v>
      </c>
      <c r="G18" s="11" t="s">
        <v>117</v>
      </c>
      <c r="H18" s="18" t="s">
        <v>118</v>
      </c>
      <c r="I18" s="18" t="s">
        <v>119</v>
      </c>
      <c r="J18" s="11" t="s">
        <v>120</v>
      </c>
      <c r="K18" s="14">
        <v>0.25</v>
      </c>
      <c r="L18" s="14">
        <v>0.75</v>
      </c>
      <c r="M18" s="14" t="s">
        <v>70</v>
      </c>
    </row>
    <row r="19" ht="36.75" customHeight="1">
      <c r="A19" s="9" t="s">
        <v>121</v>
      </c>
      <c r="B19" s="10">
        <f t="shared" si="1"/>
        <v>37.5</v>
      </c>
      <c r="C19" s="11" t="s">
        <v>122</v>
      </c>
      <c r="D19" s="12" t="s">
        <v>123</v>
      </c>
      <c r="E19" s="13" t="s">
        <v>64</v>
      </c>
      <c r="F19" s="11" t="s">
        <v>124</v>
      </c>
      <c r="G19" s="11" t="s">
        <v>125</v>
      </c>
      <c r="H19" s="11" t="s">
        <v>126</v>
      </c>
      <c r="I19" s="11" t="s">
        <v>127</v>
      </c>
      <c r="J19" s="18" t="s">
        <v>128</v>
      </c>
      <c r="K19" s="16">
        <v>0.5</v>
      </c>
      <c r="L19" s="16">
        <v>0.75</v>
      </c>
      <c r="M19" s="14" t="s">
        <v>52</v>
      </c>
    </row>
    <row r="20" ht="39.0" customHeight="1">
      <c r="A20" s="9" t="s">
        <v>129</v>
      </c>
      <c r="B20" s="10">
        <f t="shared" si="1"/>
        <v>25</v>
      </c>
      <c r="C20" s="11" t="s">
        <v>130</v>
      </c>
      <c r="D20" s="12" t="s">
        <v>131</v>
      </c>
      <c r="E20" s="13" t="s">
        <v>132</v>
      </c>
      <c r="F20" s="11" t="s">
        <v>133</v>
      </c>
      <c r="G20" s="11" t="s">
        <v>134</v>
      </c>
      <c r="H20" s="11" t="s">
        <v>135</v>
      </c>
      <c r="I20" s="11" t="s">
        <v>136</v>
      </c>
      <c r="J20" s="11" t="s">
        <v>137</v>
      </c>
      <c r="K20" s="14">
        <v>0.25</v>
      </c>
      <c r="L20" s="14">
        <v>1.0</v>
      </c>
      <c r="M20" s="14" t="s">
        <v>138</v>
      </c>
    </row>
    <row r="21" ht="36.0" customHeight="1">
      <c r="A21" s="9" t="s">
        <v>139</v>
      </c>
      <c r="B21" s="10">
        <f t="shared" si="1"/>
        <v>37.5</v>
      </c>
      <c r="C21" s="11" t="s">
        <v>140</v>
      </c>
      <c r="D21" s="12" t="s">
        <v>141</v>
      </c>
      <c r="E21" s="13" t="s">
        <v>132</v>
      </c>
      <c r="F21" s="11" t="s">
        <v>142</v>
      </c>
      <c r="G21" s="11" t="s">
        <v>143</v>
      </c>
      <c r="H21" s="11" t="s">
        <v>144</v>
      </c>
      <c r="I21" s="11" t="s">
        <v>145</v>
      </c>
      <c r="J21" s="11" t="s">
        <v>146</v>
      </c>
      <c r="K21" s="14">
        <v>0.5</v>
      </c>
      <c r="L21" s="14">
        <v>0.75</v>
      </c>
      <c r="M21" s="14" t="s">
        <v>70</v>
      </c>
    </row>
    <row r="22" ht="36.75" customHeight="1">
      <c r="A22" s="9" t="s">
        <v>147</v>
      </c>
      <c r="B22" s="10">
        <f t="shared" si="1"/>
        <v>18.75</v>
      </c>
      <c r="C22" s="11" t="s">
        <v>148</v>
      </c>
      <c r="D22" s="12" t="s">
        <v>149</v>
      </c>
      <c r="E22" s="15" t="s">
        <v>82</v>
      </c>
      <c r="F22" s="11" t="s">
        <v>150</v>
      </c>
      <c r="G22" s="11" t="s">
        <v>151</v>
      </c>
      <c r="H22" s="11" t="s">
        <v>152</v>
      </c>
      <c r="I22" s="11" t="s">
        <v>153</v>
      </c>
      <c r="J22" s="11" t="s">
        <v>154</v>
      </c>
      <c r="K22" s="14">
        <v>0.25</v>
      </c>
      <c r="L22" s="14">
        <v>0.75</v>
      </c>
      <c r="M22" s="14" t="s">
        <v>70</v>
      </c>
    </row>
    <row r="23" ht="32.25" customHeight="1">
      <c r="A23" s="9" t="s">
        <v>155</v>
      </c>
      <c r="B23" s="10">
        <f t="shared" si="1"/>
        <v>25</v>
      </c>
      <c r="C23" s="11" t="s">
        <v>156</v>
      </c>
      <c r="D23" s="12" t="s">
        <v>157</v>
      </c>
      <c r="E23" s="13" t="s">
        <v>64</v>
      </c>
      <c r="F23" s="11" t="s">
        <v>158</v>
      </c>
      <c r="G23" s="11" t="s">
        <v>159</v>
      </c>
      <c r="H23" s="11" t="s">
        <v>160</v>
      </c>
      <c r="I23" s="11" t="s">
        <v>161</v>
      </c>
      <c r="J23" s="11" t="s">
        <v>162</v>
      </c>
      <c r="K23" s="14">
        <v>0.5</v>
      </c>
      <c r="L23" s="14">
        <v>0.5</v>
      </c>
      <c r="M23" s="14" t="s">
        <v>52</v>
      </c>
    </row>
    <row r="24" ht="36.0" customHeight="1">
      <c r="A24" s="9" t="s">
        <v>163</v>
      </c>
      <c r="B24" s="10">
        <f t="shared" si="1"/>
        <v>25</v>
      </c>
      <c r="C24" s="11" t="s">
        <v>164</v>
      </c>
      <c r="D24" s="12" t="s">
        <v>165</v>
      </c>
      <c r="E24" s="13" t="s">
        <v>132</v>
      </c>
      <c r="F24" s="11" t="s">
        <v>166</v>
      </c>
      <c r="G24" s="11" t="s">
        <v>167</v>
      </c>
      <c r="H24" s="11" t="s">
        <v>168</v>
      </c>
      <c r="I24" s="11" t="s">
        <v>169</v>
      </c>
      <c r="J24" s="11" t="s">
        <v>170</v>
      </c>
      <c r="K24" s="14">
        <v>0.5</v>
      </c>
      <c r="L24" s="14">
        <v>0.5</v>
      </c>
      <c r="M24" s="14" t="s">
        <v>138</v>
      </c>
    </row>
    <row r="25" ht="33.0" customHeight="1">
      <c r="A25" s="9" t="s">
        <v>171</v>
      </c>
      <c r="B25" s="10">
        <f t="shared" si="1"/>
        <v>50</v>
      </c>
      <c r="C25" s="11" t="s">
        <v>172</v>
      </c>
      <c r="D25" s="12" t="s">
        <v>173</v>
      </c>
      <c r="E25" s="13" t="s">
        <v>91</v>
      </c>
      <c r="F25" s="11" t="s">
        <v>174</v>
      </c>
      <c r="G25" s="11" t="s">
        <v>175</v>
      </c>
      <c r="H25" s="11" t="s">
        <v>176</v>
      </c>
      <c r="I25" s="11" t="s">
        <v>177</v>
      </c>
      <c r="J25" s="11" t="s">
        <v>178</v>
      </c>
      <c r="K25" s="14">
        <v>0.5</v>
      </c>
      <c r="L25" s="14">
        <v>1.0</v>
      </c>
      <c r="M25" s="14" t="s">
        <v>70</v>
      </c>
    </row>
    <row r="26" ht="34.5" customHeight="1">
      <c r="A26" s="9" t="s">
        <v>179</v>
      </c>
      <c r="B26" s="10">
        <f t="shared" si="1"/>
        <v>37.5</v>
      </c>
      <c r="C26" s="11" t="s">
        <v>180</v>
      </c>
      <c r="D26" s="12" t="s">
        <v>181</v>
      </c>
      <c r="E26" s="13" t="s">
        <v>64</v>
      </c>
      <c r="F26" s="11" t="s">
        <v>182</v>
      </c>
      <c r="G26" s="11" t="s">
        <v>183</v>
      </c>
      <c r="H26" s="11" t="s">
        <v>184</v>
      </c>
      <c r="I26" s="11" t="s">
        <v>185</v>
      </c>
      <c r="J26" s="11" t="s">
        <v>186</v>
      </c>
      <c r="K26" s="14">
        <v>0.5</v>
      </c>
      <c r="L26" s="14">
        <v>0.75</v>
      </c>
      <c r="M26" s="14" t="s">
        <v>52</v>
      </c>
    </row>
    <row r="27" ht="39.75" customHeight="1">
      <c r="A27" s="9" t="s">
        <v>187</v>
      </c>
      <c r="B27" s="10">
        <f t="shared" si="1"/>
        <v>37.5</v>
      </c>
      <c r="C27" s="11" t="s">
        <v>188</v>
      </c>
      <c r="D27" s="12" t="s">
        <v>189</v>
      </c>
      <c r="E27" s="13" t="s">
        <v>82</v>
      </c>
      <c r="F27" s="11" t="s">
        <v>190</v>
      </c>
      <c r="G27" s="11" t="s">
        <v>191</v>
      </c>
      <c r="H27" s="11" t="s">
        <v>192</v>
      </c>
      <c r="I27" s="11" t="s">
        <v>193</v>
      </c>
      <c r="J27" s="11" t="s">
        <v>194</v>
      </c>
      <c r="K27" s="14">
        <v>0.5</v>
      </c>
      <c r="L27" s="14">
        <v>0.75</v>
      </c>
      <c r="M27" s="14" t="s">
        <v>52</v>
      </c>
    </row>
    <row r="28" ht="38.25" customHeight="1">
      <c r="A28" s="9" t="s">
        <v>195</v>
      </c>
      <c r="B28" s="10">
        <f t="shared" si="1"/>
        <v>50</v>
      </c>
      <c r="C28" s="11" t="s">
        <v>196</v>
      </c>
      <c r="D28" s="12" t="s">
        <v>197</v>
      </c>
      <c r="E28" s="13" t="s">
        <v>46</v>
      </c>
      <c r="F28" s="11" t="s">
        <v>198</v>
      </c>
      <c r="G28" s="11" t="s">
        <v>199</v>
      </c>
      <c r="H28" s="11" t="s">
        <v>200</v>
      </c>
      <c r="I28" s="11" t="s">
        <v>201</v>
      </c>
      <c r="J28" s="11" t="s">
        <v>202</v>
      </c>
      <c r="K28" s="14">
        <v>0.5</v>
      </c>
      <c r="L28" s="14">
        <v>1.0</v>
      </c>
      <c r="M28" s="14" t="s">
        <v>70</v>
      </c>
    </row>
    <row r="29" ht="36.75" customHeight="1">
      <c r="A29" s="9" t="s">
        <v>203</v>
      </c>
      <c r="B29" s="10">
        <f t="shared" si="1"/>
        <v>12.5</v>
      </c>
      <c r="C29" s="11" t="s">
        <v>204</v>
      </c>
      <c r="D29" s="12" t="s">
        <v>205</v>
      </c>
      <c r="E29" s="13" t="s">
        <v>46</v>
      </c>
      <c r="F29" s="11" t="s">
        <v>206</v>
      </c>
      <c r="G29" s="11" t="s">
        <v>207</v>
      </c>
      <c r="H29" s="11" t="s">
        <v>208</v>
      </c>
      <c r="I29" s="11" t="s">
        <v>209</v>
      </c>
      <c r="J29" s="11" t="s">
        <v>210</v>
      </c>
      <c r="K29" s="14">
        <v>0.25</v>
      </c>
      <c r="L29" s="14">
        <v>0.5</v>
      </c>
      <c r="M29" s="14" t="s">
        <v>70</v>
      </c>
    </row>
  </sheetData>
  <mergeCells count="1">
    <mergeCell ref="F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5" max="5" width="20.75"/>
    <col customWidth="1" min="6" max="6" width="21.0"/>
    <col customWidth="1" min="7" max="7" width="18.5"/>
    <col customWidth="1" min="8" max="8" width="15.88"/>
  </cols>
  <sheetData>
    <row r="6">
      <c r="D6" s="19" t="s">
        <v>211</v>
      </c>
      <c r="E6" s="20"/>
      <c r="F6" s="20"/>
      <c r="G6" s="20"/>
      <c r="H6" s="20"/>
    </row>
    <row r="7">
      <c r="D7" s="19" t="s">
        <v>212</v>
      </c>
      <c r="E7" s="21" t="s">
        <v>213</v>
      </c>
      <c r="F7" s="22" t="s">
        <v>214</v>
      </c>
      <c r="G7" s="23" t="s">
        <v>215</v>
      </c>
      <c r="H7" s="24" t="s">
        <v>216</v>
      </c>
    </row>
    <row r="8">
      <c r="D8" s="19" t="s">
        <v>217</v>
      </c>
      <c r="E8" s="20"/>
      <c r="F8" s="23" t="s">
        <v>218</v>
      </c>
      <c r="G8" s="25" t="s">
        <v>219</v>
      </c>
      <c r="H8" s="26" t="s">
        <v>220</v>
      </c>
    </row>
    <row r="9">
      <c r="D9" s="19" t="s">
        <v>221</v>
      </c>
      <c r="E9" s="27"/>
      <c r="F9" s="20"/>
      <c r="G9" s="26" t="s">
        <v>222</v>
      </c>
      <c r="H9" s="28"/>
    </row>
    <row r="10">
      <c r="D10" s="29"/>
      <c r="E10" s="19" t="s">
        <v>223</v>
      </c>
      <c r="F10" s="19" t="s">
        <v>224</v>
      </c>
      <c r="G10" s="19" t="s">
        <v>225</v>
      </c>
      <c r="H10" s="19" t="s">
        <v>226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19.63" outlineLevel="1"/>
    <col customWidth="1" min="3" max="3" width="38.13"/>
    <col customWidth="1" min="4" max="4" width="23.13"/>
    <col customWidth="1" min="5" max="5" width="15.63"/>
    <col customWidth="1" min="6" max="6" width="24.63"/>
    <col customWidth="1" min="7" max="7" width="25.88"/>
    <col customWidth="1" min="8" max="8" width="22.13"/>
    <col customWidth="1" min="9" max="9" width="23.75"/>
    <col customWidth="1" min="10" max="10" width="18.38"/>
    <col customWidth="1" min="11" max="11" width="17.63"/>
    <col customWidth="1" min="12" max="12" width="17.13"/>
    <col customWidth="1" min="13" max="13" width="23.25"/>
  </cols>
  <sheetData>
    <row r="2">
      <c r="B2" s="1" t="s">
        <v>0</v>
      </c>
      <c r="C2" s="2" t="s">
        <v>1</v>
      </c>
      <c r="E2" s="1" t="s">
        <v>2</v>
      </c>
      <c r="F2" s="3" t="s">
        <v>3</v>
      </c>
      <c r="G2" s="4"/>
      <c r="H2" s="4"/>
      <c r="I2" s="4"/>
      <c r="J2" s="5"/>
    </row>
    <row r="3">
      <c r="B3" s="1" t="s">
        <v>4</v>
      </c>
      <c r="C3" s="2" t="s">
        <v>5</v>
      </c>
      <c r="E3" s="6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>
      <c r="B4" s="1" t="s">
        <v>12</v>
      </c>
      <c r="C4" s="2" t="s">
        <v>13</v>
      </c>
      <c r="E4" s="6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7"/>
    </row>
    <row r="5">
      <c r="B5" s="1" t="s">
        <v>19</v>
      </c>
      <c r="C5" s="2" t="s">
        <v>20</v>
      </c>
      <c r="E5" s="6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7"/>
    </row>
    <row r="6">
      <c r="B6" s="1" t="s">
        <v>26</v>
      </c>
      <c r="C6" s="2" t="s">
        <v>27</v>
      </c>
      <c r="E6" s="6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7"/>
    </row>
    <row r="9">
      <c r="A9" s="8" t="s">
        <v>33</v>
      </c>
      <c r="B9" s="8" t="s">
        <v>34</v>
      </c>
      <c r="C9" s="8" t="s">
        <v>35</v>
      </c>
      <c r="D9" s="8" t="s">
        <v>36</v>
      </c>
      <c r="E9" s="8" t="s">
        <v>6</v>
      </c>
      <c r="F9" s="8" t="s">
        <v>37</v>
      </c>
      <c r="G9" s="8" t="s">
        <v>38</v>
      </c>
      <c r="H9" s="8" t="s">
        <v>39</v>
      </c>
      <c r="I9" s="8" t="s">
        <v>40</v>
      </c>
      <c r="J9" s="8" t="s">
        <v>41</v>
      </c>
      <c r="K9" s="8" t="s">
        <v>28</v>
      </c>
      <c r="L9" s="8" t="s">
        <v>14</v>
      </c>
      <c r="M9" s="8" t="s">
        <v>42</v>
      </c>
    </row>
    <row r="10" ht="38.25" customHeight="1">
      <c r="A10" s="9" t="s">
        <v>171</v>
      </c>
      <c r="B10" s="10">
        <f t="shared" ref="B10:B29" si="1">K10*L10*100</f>
        <v>50</v>
      </c>
      <c r="C10" s="11" t="s">
        <v>172</v>
      </c>
      <c r="D10" s="12" t="s">
        <v>173</v>
      </c>
      <c r="E10" s="13" t="s">
        <v>91</v>
      </c>
      <c r="F10" s="11" t="s">
        <v>174</v>
      </c>
      <c r="G10" s="11" t="s">
        <v>175</v>
      </c>
      <c r="H10" s="11" t="s">
        <v>176</v>
      </c>
      <c r="I10" s="11" t="s">
        <v>177</v>
      </c>
      <c r="J10" s="11" t="s">
        <v>178</v>
      </c>
      <c r="K10" s="14">
        <v>0.5</v>
      </c>
      <c r="L10" s="14">
        <v>1.0</v>
      </c>
      <c r="M10" s="14" t="s">
        <v>70</v>
      </c>
    </row>
    <row r="11" ht="36.75" customHeight="1">
      <c r="A11" s="9" t="s">
        <v>195</v>
      </c>
      <c r="B11" s="10">
        <f t="shared" si="1"/>
        <v>50</v>
      </c>
      <c r="C11" s="11" t="s">
        <v>196</v>
      </c>
      <c r="D11" s="12" t="s">
        <v>197</v>
      </c>
      <c r="E11" s="13" t="s">
        <v>46</v>
      </c>
      <c r="F11" s="11" t="s">
        <v>198</v>
      </c>
      <c r="G11" s="11" t="s">
        <v>199</v>
      </c>
      <c r="H11" s="11" t="s">
        <v>200</v>
      </c>
      <c r="I11" s="11" t="s">
        <v>201</v>
      </c>
      <c r="J11" s="11" t="s">
        <v>202</v>
      </c>
      <c r="K11" s="14">
        <v>0.5</v>
      </c>
      <c r="L11" s="14">
        <v>1.0</v>
      </c>
      <c r="M11" s="14" t="s">
        <v>70</v>
      </c>
    </row>
    <row r="12" ht="39.75" customHeight="1">
      <c r="A12" s="9" t="s">
        <v>43</v>
      </c>
      <c r="B12" s="10">
        <f t="shared" si="1"/>
        <v>37.5</v>
      </c>
      <c r="C12" s="11" t="s">
        <v>44</v>
      </c>
      <c r="D12" s="12" t="s">
        <v>45</v>
      </c>
      <c r="E12" s="13" t="s">
        <v>46</v>
      </c>
      <c r="F12" s="11" t="s">
        <v>47</v>
      </c>
      <c r="G12" s="11" t="s">
        <v>48</v>
      </c>
      <c r="H12" s="11" t="s">
        <v>49</v>
      </c>
      <c r="I12" s="11" t="s">
        <v>50</v>
      </c>
      <c r="J12" s="11" t="s">
        <v>51</v>
      </c>
      <c r="K12" s="14">
        <v>0.5</v>
      </c>
      <c r="L12" s="14">
        <v>0.75</v>
      </c>
      <c r="M12" s="14" t="s">
        <v>52</v>
      </c>
    </row>
    <row r="13" ht="33.75" customHeight="1">
      <c r="A13" s="30" t="s">
        <v>79</v>
      </c>
      <c r="B13" s="10">
        <f t="shared" si="1"/>
        <v>37.5</v>
      </c>
      <c r="C13" s="11" t="s">
        <v>80</v>
      </c>
      <c r="D13" s="12" t="s">
        <v>81</v>
      </c>
      <c r="E13" s="15" t="s">
        <v>82</v>
      </c>
      <c r="F13" s="11" t="s">
        <v>83</v>
      </c>
      <c r="G13" s="11" t="s">
        <v>84</v>
      </c>
      <c r="H13" s="11" t="s">
        <v>85</v>
      </c>
      <c r="I13" s="11" t="s">
        <v>86</v>
      </c>
      <c r="J13" s="11" t="s">
        <v>87</v>
      </c>
      <c r="K13" s="14">
        <v>0.5</v>
      </c>
      <c r="L13" s="14">
        <v>0.75</v>
      </c>
      <c r="M13" s="14" t="s">
        <v>52</v>
      </c>
    </row>
    <row r="14" ht="36.75" customHeight="1">
      <c r="A14" s="9" t="s">
        <v>88</v>
      </c>
      <c r="B14" s="10">
        <f t="shared" si="1"/>
        <v>37.5</v>
      </c>
      <c r="C14" s="11" t="s">
        <v>89</v>
      </c>
      <c r="D14" s="12" t="s">
        <v>90</v>
      </c>
      <c r="E14" s="13" t="s">
        <v>91</v>
      </c>
      <c r="F14" s="11" t="s">
        <v>92</v>
      </c>
      <c r="G14" s="11" t="s">
        <v>93</v>
      </c>
      <c r="H14" s="11" t="s">
        <v>94</v>
      </c>
      <c r="I14" s="11" t="s">
        <v>95</v>
      </c>
      <c r="J14" s="11" t="s">
        <v>96</v>
      </c>
      <c r="K14" s="14">
        <v>0.5</v>
      </c>
      <c r="L14" s="14">
        <v>0.75</v>
      </c>
      <c r="M14" s="14" t="s">
        <v>70</v>
      </c>
    </row>
    <row r="15" ht="35.25" customHeight="1">
      <c r="A15" s="9" t="s">
        <v>97</v>
      </c>
      <c r="B15" s="10">
        <f t="shared" si="1"/>
        <v>37.5</v>
      </c>
      <c r="C15" s="11" t="s">
        <v>98</v>
      </c>
      <c r="D15" s="12" t="s">
        <v>99</v>
      </c>
      <c r="E15" s="15" t="s">
        <v>91</v>
      </c>
      <c r="F15" s="11" t="s">
        <v>100</v>
      </c>
      <c r="G15" s="11" t="s">
        <v>101</v>
      </c>
      <c r="H15" s="11" t="s">
        <v>102</v>
      </c>
      <c r="I15" s="11" t="s">
        <v>103</v>
      </c>
      <c r="J15" s="11" t="s">
        <v>104</v>
      </c>
      <c r="K15" s="14">
        <v>0.5</v>
      </c>
      <c r="L15" s="14">
        <v>0.75</v>
      </c>
      <c r="M15" s="14" t="s">
        <v>52</v>
      </c>
    </row>
    <row r="16" ht="33.75" customHeight="1">
      <c r="A16" s="9" t="s">
        <v>121</v>
      </c>
      <c r="B16" s="10">
        <f t="shared" si="1"/>
        <v>37.5</v>
      </c>
      <c r="C16" s="11" t="s">
        <v>122</v>
      </c>
      <c r="D16" s="12" t="s">
        <v>123</v>
      </c>
      <c r="E16" s="13" t="s">
        <v>64</v>
      </c>
      <c r="F16" s="11" t="s">
        <v>124</v>
      </c>
      <c r="G16" s="11" t="s">
        <v>125</v>
      </c>
      <c r="H16" s="11" t="s">
        <v>126</v>
      </c>
      <c r="I16" s="11" t="s">
        <v>127</v>
      </c>
      <c r="J16" s="11" t="s">
        <v>227</v>
      </c>
      <c r="K16" s="16">
        <v>0.5</v>
      </c>
      <c r="L16" s="16">
        <v>0.75</v>
      </c>
      <c r="M16" s="14" t="s">
        <v>52</v>
      </c>
    </row>
    <row r="17" ht="39.0" customHeight="1">
      <c r="A17" s="9" t="s">
        <v>139</v>
      </c>
      <c r="B17" s="10">
        <f t="shared" si="1"/>
        <v>37.5</v>
      </c>
      <c r="C17" s="11" t="s">
        <v>140</v>
      </c>
      <c r="D17" s="12" t="s">
        <v>141</v>
      </c>
      <c r="E17" s="13" t="s">
        <v>132</v>
      </c>
      <c r="F17" s="11" t="s">
        <v>142</v>
      </c>
      <c r="G17" s="11" t="s">
        <v>143</v>
      </c>
      <c r="H17" s="11" t="s">
        <v>144</v>
      </c>
      <c r="I17" s="11" t="s">
        <v>145</v>
      </c>
      <c r="J17" s="11" t="s">
        <v>146</v>
      </c>
      <c r="K17" s="14">
        <v>0.5</v>
      </c>
      <c r="L17" s="14">
        <v>0.75</v>
      </c>
      <c r="M17" s="14" t="s">
        <v>70</v>
      </c>
    </row>
    <row r="18" ht="36.0" customHeight="1">
      <c r="A18" s="9" t="s">
        <v>179</v>
      </c>
      <c r="B18" s="10">
        <f t="shared" si="1"/>
        <v>37.5</v>
      </c>
      <c r="C18" s="11" t="s">
        <v>180</v>
      </c>
      <c r="D18" s="12" t="s">
        <v>181</v>
      </c>
      <c r="E18" s="13" t="s">
        <v>64</v>
      </c>
      <c r="F18" s="11" t="s">
        <v>182</v>
      </c>
      <c r="G18" s="11" t="s">
        <v>183</v>
      </c>
      <c r="H18" s="11" t="s">
        <v>184</v>
      </c>
      <c r="I18" s="11" t="s">
        <v>185</v>
      </c>
      <c r="J18" s="11" t="s">
        <v>186</v>
      </c>
      <c r="K18" s="14">
        <v>0.5</v>
      </c>
      <c r="L18" s="14">
        <v>0.75</v>
      </c>
      <c r="M18" s="14" t="s">
        <v>52</v>
      </c>
    </row>
    <row r="19" ht="36.75" customHeight="1">
      <c r="A19" s="9" t="s">
        <v>187</v>
      </c>
      <c r="B19" s="10">
        <f t="shared" si="1"/>
        <v>37.5</v>
      </c>
      <c r="C19" s="11" t="s">
        <v>188</v>
      </c>
      <c r="D19" s="12" t="s">
        <v>189</v>
      </c>
      <c r="E19" s="13" t="s">
        <v>82</v>
      </c>
      <c r="F19" s="11" t="s">
        <v>190</v>
      </c>
      <c r="G19" s="11" t="s">
        <v>191</v>
      </c>
      <c r="H19" s="11" t="s">
        <v>192</v>
      </c>
      <c r="I19" s="11" t="s">
        <v>193</v>
      </c>
      <c r="J19" s="11" t="s">
        <v>194</v>
      </c>
      <c r="K19" s="14">
        <v>0.5</v>
      </c>
      <c r="L19" s="14">
        <v>0.75</v>
      </c>
      <c r="M19" s="14" t="s">
        <v>52</v>
      </c>
    </row>
    <row r="20" ht="39.0" customHeight="1">
      <c r="A20" s="9" t="s">
        <v>105</v>
      </c>
      <c r="B20" s="10">
        <f t="shared" si="1"/>
        <v>25</v>
      </c>
      <c r="C20" s="11" t="s">
        <v>106</v>
      </c>
      <c r="D20" s="12" t="s">
        <v>107</v>
      </c>
      <c r="E20" s="15" t="s">
        <v>46</v>
      </c>
      <c r="F20" s="11" t="s">
        <v>108</v>
      </c>
      <c r="G20" s="11" t="s">
        <v>228</v>
      </c>
      <c r="H20" s="11" t="s">
        <v>110</v>
      </c>
      <c r="I20" s="11" t="s">
        <v>111</v>
      </c>
      <c r="J20" s="11" t="s">
        <v>112</v>
      </c>
      <c r="K20" s="14">
        <v>0.25</v>
      </c>
      <c r="L20" s="14">
        <v>1.0</v>
      </c>
      <c r="M20" s="14" t="s">
        <v>52</v>
      </c>
    </row>
    <row r="21" ht="36.0" customHeight="1">
      <c r="A21" s="9" t="s">
        <v>129</v>
      </c>
      <c r="B21" s="10">
        <f t="shared" si="1"/>
        <v>25</v>
      </c>
      <c r="C21" s="11" t="s">
        <v>130</v>
      </c>
      <c r="D21" s="12" t="s">
        <v>131</v>
      </c>
      <c r="E21" s="13" t="s">
        <v>132</v>
      </c>
      <c r="F21" s="11" t="s">
        <v>133</v>
      </c>
      <c r="G21" s="11" t="s">
        <v>134</v>
      </c>
      <c r="H21" s="11" t="s">
        <v>135</v>
      </c>
      <c r="I21" s="11" t="s">
        <v>136</v>
      </c>
      <c r="J21" s="11" t="s">
        <v>137</v>
      </c>
      <c r="K21" s="14">
        <v>0.25</v>
      </c>
      <c r="L21" s="14">
        <v>1.0</v>
      </c>
      <c r="M21" s="14" t="s">
        <v>138</v>
      </c>
    </row>
    <row r="22" ht="36.75" customHeight="1">
      <c r="A22" s="9" t="s">
        <v>155</v>
      </c>
      <c r="B22" s="10">
        <f t="shared" si="1"/>
        <v>25</v>
      </c>
      <c r="C22" s="11" t="s">
        <v>156</v>
      </c>
      <c r="D22" s="12" t="s">
        <v>157</v>
      </c>
      <c r="E22" s="13" t="s">
        <v>64</v>
      </c>
      <c r="F22" s="11" t="s">
        <v>158</v>
      </c>
      <c r="G22" s="11" t="s">
        <v>159</v>
      </c>
      <c r="H22" s="11" t="s">
        <v>160</v>
      </c>
      <c r="I22" s="11" t="s">
        <v>161</v>
      </c>
      <c r="J22" s="11" t="s">
        <v>162</v>
      </c>
      <c r="K22" s="14">
        <v>0.5</v>
      </c>
      <c r="L22" s="14">
        <v>0.5</v>
      </c>
      <c r="M22" s="14" t="s">
        <v>52</v>
      </c>
    </row>
    <row r="23" ht="32.25" customHeight="1">
      <c r="A23" s="9" t="s">
        <v>163</v>
      </c>
      <c r="B23" s="10">
        <f t="shared" si="1"/>
        <v>25</v>
      </c>
      <c r="C23" s="11" t="s">
        <v>164</v>
      </c>
      <c r="D23" s="12" t="s">
        <v>165</v>
      </c>
      <c r="E23" s="13" t="s">
        <v>132</v>
      </c>
      <c r="F23" s="11" t="s">
        <v>166</v>
      </c>
      <c r="G23" s="11" t="s">
        <v>167</v>
      </c>
      <c r="H23" s="11" t="s">
        <v>168</v>
      </c>
      <c r="I23" s="11" t="s">
        <v>169</v>
      </c>
      <c r="J23" s="11" t="s">
        <v>170</v>
      </c>
      <c r="K23" s="14">
        <v>0.5</v>
      </c>
      <c r="L23" s="14">
        <v>0.5</v>
      </c>
      <c r="M23" s="14" t="s">
        <v>138</v>
      </c>
    </row>
    <row r="24" ht="36.0" customHeight="1">
      <c r="A24" s="9" t="s">
        <v>53</v>
      </c>
      <c r="B24" s="10">
        <f t="shared" si="1"/>
        <v>18.75</v>
      </c>
      <c r="C24" s="11" t="s">
        <v>54</v>
      </c>
      <c r="D24" s="12" t="s">
        <v>55</v>
      </c>
      <c r="E24" s="15" t="s">
        <v>46</v>
      </c>
      <c r="F24" s="11" t="s">
        <v>56</v>
      </c>
      <c r="G24" s="11" t="s">
        <v>57</v>
      </c>
      <c r="H24" s="11" t="s">
        <v>58</v>
      </c>
      <c r="I24" s="11" t="s">
        <v>59</v>
      </c>
      <c r="J24" s="11" t="s">
        <v>60</v>
      </c>
      <c r="K24" s="16">
        <v>0.25</v>
      </c>
      <c r="L24" s="16">
        <v>0.75</v>
      </c>
      <c r="M24" s="16" t="s">
        <v>52</v>
      </c>
    </row>
    <row r="25" ht="33.0" customHeight="1">
      <c r="A25" s="9" t="s">
        <v>113</v>
      </c>
      <c r="B25" s="10">
        <f t="shared" si="1"/>
        <v>18.75</v>
      </c>
      <c r="C25" s="11" t="s">
        <v>114</v>
      </c>
      <c r="D25" s="12" t="s">
        <v>115</v>
      </c>
      <c r="E25" s="15" t="s">
        <v>46</v>
      </c>
      <c r="F25" s="11" t="s">
        <v>116</v>
      </c>
      <c r="G25" s="11" t="s">
        <v>117</v>
      </c>
      <c r="H25" s="11" t="s">
        <v>229</v>
      </c>
      <c r="I25" s="11" t="s">
        <v>230</v>
      </c>
      <c r="J25" s="11" t="s">
        <v>120</v>
      </c>
      <c r="K25" s="14">
        <v>0.25</v>
      </c>
      <c r="L25" s="14">
        <v>0.75</v>
      </c>
      <c r="M25" s="14" t="s">
        <v>70</v>
      </c>
    </row>
    <row r="26" ht="34.5" customHeight="1">
      <c r="A26" s="9" t="s">
        <v>147</v>
      </c>
      <c r="B26" s="10">
        <f t="shared" si="1"/>
        <v>18.75</v>
      </c>
      <c r="C26" s="11" t="s">
        <v>148</v>
      </c>
      <c r="D26" s="12" t="s">
        <v>149</v>
      </c>
      <c r="E26" s="15" t="s">
        <v>82</v>
      </c>
      <c r="F26" s="11" t="s">
        <v>150</v>
      </c>
      <c r="G26" s="11" t="s">
        <v>151</v>
      </c>
      <c r="H26" s="11" t="s">
        <v>152</v>
      </c>
      <c r="I26" s="11" t="s">
        <v>153</v>
      </c>
      <c r="J26" s="11" t="s">
        <v>154</v>
      </c>
      <c r="K26" s="14">
        <v>0.25</v>
      </c>
      <c r="L26" s="14">
        <v>0.75</v>
      </c>
      <c r="M26" s="14" t="s">
        <v>70</v>
      </c>
    </row>
    <row r="27" ht="39.75" customHeight="1">
      <c r="A27" s="9" t="s">
        <v>71</v>
      </c>
      <c r="B27" s="10">
        <f t="shared" si="1"/>
        <v>12.5</v>
      </c>
      <c r="C27" s="11" t="s">
        <v>72</v>
      </c>
      <c r="D27" s="12" t="s">
        <v>73</v>
      </c>
      <c r="E27" s="15" t="s">
        <v>64</v>
      </c>
      <c r="F27" s="11" t="s">
        <v>74</v>
      </c>
      <c r="G27" s="11" t="s">
        <v>75</v>
      </c>
      <c r="H27" s="11" t="s">
        <v>76</v>
      </c>
      <c r="I27" s="11" t="s">
        <v>77</v>
      </c>
      <c r="J27" s="11" t="s">
        <v>78</v>
      </c>
      <c r="K27" s="14">
        <v>0.25</v>
      </c>
      <c r="L27" s="14">
        <v>0.5</v>
      </c>
      <c r="M27" s="14" t="s">
        <v>70</v>
      </c>
    </row>
    <row r="28" ht="38.25" customHeight="1">
      <c r="A28" s="9" t="s">
        <v>203</v>
      </c>
      <c r="B28" s="10">
        <f t="shared" si="1"/>
        <v>12.5</v>
      </c>
      <c r="C28" s="11" t="s">
        <v>204</v>
      </c>
      <c r="D28" s="12" t="s">
        <v>205</v>
      </c>
      <c r="E28" s="13" t="s">
        <v>46</v>
      </c>
      <c r="F28" s="11" t="s">
        <v>206</v>
      </c>
      <c r="G28" s="11" t="s">
        <v>207</v>
      </c>
      <c r="H28" s="11" t="s">
        <v>208</v>
      </c>
      <c r="I28" s="11" t="s">
        <v>209</v>
      </c>
      <c r="J28" s="11" t="s">
        <v>210</v>
      </c>
      <c r="K28" s="14">
        <v>0.25</v>
      </c>
      <c r="L28" s="14">
        <v>0.5</v>
      </c>
      <c r="M28" s="14" t="s">
        <v>70</v>
      </c>
    </row>
    <row r="29" ht="36.75" customHeight="1">
      <c r="A29" s="17" t="s">
        <v>61</v>
      </c>
      <c r="B29" s="10">
        <f t="shared" si="1"/>
        <v>7.5</v>
      </c>
      <c r="C29" s="11" t="s">
        <v>62</v>
      </c>
      <c r="D29" s="12" t="s">
        <v>63</v>
      </c>
      <c r="E29" s="15" t="s">
        <v>64</v>
      </c>
      <c r="F29" s="11" t="s">
        <v>65</v>
      </c>
      <c r="G29" s="11" t="s">
        <v>66</v>
      </c>
      <c r="H29" s="11" t="s">
        <v>67</v>
      </c>
      <c r="I29" s="11" t="s">
        <v>68</v>
      </c>
      <c r="J29" s="11" t="s">
        <v>69</v>
      </c>
      <c r="K29" s="16">
        <v>0.1</v>
      </c>
      <c r="L29" s="16">
        <v>0.75</v>
      </c>
      <c r="M29" s="16" t="s">
        <v>70</v>
      </c>
    </row>
  </sheetData>
  <mergeCells count="1">
    <mergeCell ref="F2:J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9.0"/>
    <col customWidth="1" min="4" max="4" width="20.38"/>
    <col customWidth="1" min="5" max="5" width="23.38"/>
    <col customWidth="1" min="6" max="6" width="24.0"/>
    <col customWidth="1" min="7" max="7" width="21.25"/>
  </cols>
  <sheetData>
    <row r="2">
      <c r="B2" s="31" t="s">
        <v>231</v>
      </c>
      <c r="C2" s="31" t="s">
        <v>232</v>
      </c>
      <c r="D2" s="31" t="s">
        <v>233</v>
      </c>
      <c r="E2" s="31" t="s">
        <v>234</v>
      </c>
      <c r="F2" s="31" t="s">
        <v>235</v>
      </c>
      <c r="G2" s="32"/>
    </row>
    <row r="3">
      <c r="B3" s="33" t="s">
        <v>236</v>
      </c>
      <c r="C3" s="33" t="s">
        <v>237</v>
      </c>
      <c r="D3" s="33" t="s">
        <v>238</v>
      </c>
      <c r="E3" s="34">
        <v>0.35</v>
      </c>
      <c r="F3" s="34">
        <v>1.0</v>
      </c>
      <c r="G3" s="35"/>
    </row>
    <row r="4">
      <c r="B4" s="36" t="s">
        <v>239</v>
      </c>
      <c r="C4" s="36" t="s">
        <v>240</v>
      </c>
      <c r="D4" s="36" t="s">
        <v>241</v>
      </c>
      <c r="E4" s="37">
        <v>0.75</v>
      </c>
      <c r="F4" s="37">
        <v>1.0</v>
      </c>
    </row>
    <row r="5">
      <c r="B5" s="33" t="s">
        <v>242</v>
      </c>
      <c r="C5" s="33" t="s">
        <v>243</v>
      </c>
      <c r="D5" s="33" t="s">
        <v>244</v>
      </c>
      <c r="E5" s="38">
        <v>1.0</v>
      </c>
      <c r="F5" s="38">
        <v>1.0</v>
      </c>
    </row>
    <row r="6">
      <c r="B6" s="39" t="s">
        <v>245</v>
      </c>
      <c r="C6" s="39" t="s">
        <v>246</v>
      </c>
      <c r="D6" s="39" t="s">
        <v>247</v>
      </c>
      <c r="E6" s="40">
        <v>0.5</v>
      </c>
      <c r="F6" s="40">
        <v>1.0</v>
      </c>
    </row>
    <row r="7">
      <c r="B7" s="41" t="s">
        <v>248</v>
      </c>
      <c r="C7" s="41" t="s">
        <v>249</v>
      </c>
      <c r="D7" s="41" t="s">
        <v>250</v>
      </c>
      <c r="E7" s="38">
        <v>0.75</v>
      </c>
      <c r="F7" s="38">
        <v>1.0</v>
      </c>
    </row>
    <row r="8">
      <c r="B8" s="42" t="s">
        <v>251</v>
      </c>
      <c r="C8" s="42" t="s">
        <v>252</v>
      </c>
      <c r="D8" s="42" t="s">
        <v>253</v>
      </c>
      <c r="E8" s="37">
        <v>1.0</v>
      </c>
      <c r="F8" s="37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19.63"/>
    <col customWidth="1" min="4" max="4" width="38.13"/>
    <col customWidth="1" min="5" max="5" width="23.13"/>
    <col customWidth="1" min="6" max="6" width="15.63"/>
    <col customWidth="1" min="7" max="7" width="24.63"/>
    <col customWidth="1" min="8" max="8" width="25.88"/>
    <col customWidth="1" min="9" max="9" width="43.0"/>
    <col customWidth="1" min="10" max="10" width="23.75"/>
    <col customWidth="1" min="11" max="11" width="18.38"/>
    <col customWidth="1" min="12" max="12" width="17.63"/>
    <col customWidth="1" min="13" max="13" width="17.13"/>
    <col customWidth="1" min="14" max="14" width="23.25"/>
    <col customWidth="1" min="17" max="17" width="17.0"/>
    <col customWidth="1" min="18" max="18" width="25.13"/>
    <col customWidth="1" min="19" max="19" width="24.13"/>
    <col customWidth="1" min="20" max="20" width="49.75"/>
  </cols>
  <sheetData>
    <row r="1">
      <c r="A1" s="43"/>
    </row>
    <row r="2">
      <c r="B2" s="44" t="s">
        <v>254</v>
      </c>
      <c r="D2" s="1" t="s">
        <v>2</v>
      </c>
      <c r="E2" s="3" t="s">
        <v>3</v>
      </c>
      <c r="F2" s="4"/>
      <c r="G2" s="4"/>
      <c r="H2" s="4"/>
      <c r="I2" s="5"/>
    </row>
    <row r="3">
      <c r="D3" s="6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>
      <c r="D4" s="6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7"/>
    </row>
    <row r="5">
      <c r="D5" s="6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7"/>
    </row>
    <row r="6">
      <c r="D6" s="6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7"/>
    </row>
    <row r="8" ht="1.5" customHeight="1"/>
    <row r="9">
      <c r="A9" s="45"/>
      <c r="B9" s="45"/>
      <c r="C9" s="45"/>
      <c r="D9" s="45"/>
      <c r="E9" s="46"/>
      <c r="F9" s="45"/>
      <c r="G9" s="45"/>
      <c r="H9" s="45"/>
      <c r="I9" s="45"/>
      <c r="J9" s="45"/>
      <c r="K9" s="45"/>
      <c r="L9" s="45"/>
      <c r="M9" s="45"/>
      <c r="N9" s="45"/>
    </row>
    <row r="10" ht="38.25" customHeight="1">
      <c r="A10" s="47"/>
      <c r="B10" s="48"/>
      <c r="C10" s="48"/>
      <c r="D10" s="47"/>
      <c r="E10" s="49"/>
      <c r="F10" s="50"/>
      <c r="G10" s="49"/>
      <c r="H10" s="49"/>
      <c r="I10" s="49"/>
      <c r="J10" s="49"/>
      <c r="K10" s="49"/>
      <c r="L10" s="50"/>
      <c r="M10" s="50"/>
      <c r="N10" s="50"/>
    </row>
    <row r="11" ht="36.75" customHeight="1">
      <c r="A11" s="51" t="s">
        <v>33</v>
      </c>
      <c r="B11" s="51" t="s">
        <v>255</v>
      </c>
      <c r="C11" s="51" t="s">
        <v>256</v>
      </c>
      <c r="D11" s="52" t="s">
        <v>257</v>
      </c>
      <c r="E11" s="53"/>
      <c r="F11" s="53"/>
      <c r="G11" s="53"/>
      <c r="H11" s="54"/>
      <c r="I11" s="51" t="s">
        <v>258</v>
      </c>
      <c r="J11" s="51" t="s">
        <v>259</v>
      </c>
      <c r="K11" s="51" t="s">
        <v>260</v>
      </c>
      <c r="L11" s="51" t="s">
        <v>261</v>
      </c>
      <c r="M11" s="51" t="s">
        <v>262</v>
      </c>
      <c r="N11" s="51" t="s">
        <v>263</v>
      </c>
      <c r="O11" s="51" t="s">
        <v>264</v>
      </c>
      <c r="P11" s="51" t="s">
        <v>265</v>
      </c>
      <c r="Q11" s="51" t="s">
        <v>266</v>
      </c>
      <c r="R11" s="51" t="s">
        <v>267</v>
      </c>
      <c r="S11" s="55" t="s">
        <v>268</v>
      </c>
      <c r="T11" s="51" t="s">
        <v>269</v>
      </c>
    </row>
    <row r="12" ht="39.75" customHeight="1">
      <c r="A12" s="56"/>
      <c r="B12" s="56"/>
      <c r="C12" s="56"/>
      <c r="D12" s="57" t="s">
        <v>270</v>
      </c>
      <c r="E12" s="58" t="s">
        <v>271</v>
      </c>
      <c r="F12" s="58" t="s">
        <v>272</v>
      </c>
      <c r="G12" s="58" t="s">
        <v>273</v>
      </c>
      <c r="H12" s="57" t="s">
        <v>274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ht="90.0" customHeight="1">
      <c r="A13" s="57" t="s">
        <v>171</v>
      </c>
      <c r="B13" s="59" t="s">
        <v>172</v>
      </c>
      <c r="C13" s="60">
        <v>50.0</v>
      </c>
      <c r="D13" s="61"/>
      <c r="E13" s="62">
        <v>0.0</v>
      </c>
      <c r="F13" s="63">
        <v>45953.0</v>
      </c>
      <c r="G13" s="63"/>
      <c r="H13" s="64"/>
      <c r="I13" s="65" t="s">
        <v>173</v>
      </c>
      <c r="J13" s="66" t="s">
        <v>91</v>
      </c>
      <c r="K13" s="65" t="s">
        <v>174</v>
      </c>
      <c r="L13" s="67" t="s">
        <v>175</v>
      </c>
      <c r="M13" s="65" t="s">
        <v>176</v>
      </c>
      <c r="N13" s="65" t="s">
        <v>275</v>
      </c>
      <c r="O13" s="66">
        <v>0.5</v>
      </c>
      <c r="P13" s="66">
        <v>1.0</v>
      </c>
      <c r="Q13" s="62" t="s">
        <v>276</v>
      </c>
      <c r="R13" s="66" t="s">
        <v>70</v>
      </c>
      <c r="S13" s="66" t="s">
        <v>277</v>
      </c>
      <c r="T13" s="65"/>
    </row>
    <row r="14" ht="90.75" customHeight="1">
      <c r="A14" s="57" t="s">
        <v>195</v>
      </c>
      <c r="B14" s="68" t="s">
        <v>196</v>
      </c>
      <c r="C14" s="69">
        <v>50.0</v>
      </c>
      <c r="D14" s="70"/>
      <c r="E14" s="71">
        <v>0.0</v>
      </c>
      <c r="F14" s="72">
        <v>45955.0</v>
      </c>
      <c r="G14" s="70"/>
      <c r="H14" s="70"/>
      <c r="I14" s="73" t="s">
        <v>197</v>
      </c>
      <c r="J14" s="74" t="s">
        <v>46</v>
      </c>
      <c r="K14" s="73" t="s">
        <v>198</v>
      </c>
      <c r="L14" s="75" t="s">
        <v>199</v>
      </c>
      <c r="M14" s="73" t="s">
        <v>200</v>
      </c>
      <c r="N14" s="73" t="s">
        <v>201</v>
      </c>
      <c r="O14" s="74">
        <v>0.5</v>
      </c>
      <c r="P14" s="74">
        <v>1.0</v>
      </c>
      <c r="Q14" s="71" t="s">
        <v>276</v>
      </c>
      <c r="R14" s="74" t="s">
        <v>70</v>
      </c>
      <c r="S14" s="74" t="s">
        <v>277</v>
      </c>
      <c r="T14" s="70"/>
    </row>
    <row r="15" ht="126.75" customHeight="1">
      <c r="A15" s="57" t="s">
        <v>43</v>
      </c>
      <c r="B15" s="59" t="s">
        <v>44</v>
      </c>
      <c r="C15" s="60">
        <v>37.5</v>
      </c>
      <c r="D15" s="61"/>
      <c r="E15" s="62">
        <v>0.0</v>
      </c>
      <c r="F15" s="76">
        <v>45955.0</v>
      </c>
      <c r="G15" s="63">
        <v>45960.0</v>
      </c>
      <c r="H15" s="61"/>
      <c r="I15" s="65" t="s">
        <v>45</v>
      </c>
      <c r="J15" s="66" t="s">
        <v>46</v>
      </c>
      <c r="K15" s="65" t="s">
        <v>47</v>
      </c>
      <c r="L15" s="67" t="s">
        <v>48</v>
      </c>
      <c r="M15" s="65" t="s">
        <v>49</v>
      </c>
      <c r="N15" s="65" t="s">
        <v>50</v>
      </c>
      <c r="O15" s="66">
        <v>0.5</v>
      </c>
      <c r="P15" s="66">
        <v>0.75</v>
      </c>
      <c r="Q15" s="62" t="s">
        <v>278</v>
      </c>
      <c r="R15" s="66" t="s">
        <v>52</v>
      </c>
      <c r="S15" s="77" t="s">
        <v>70</v>
      </c>
      <c r="T15" s="65" t="s">
        <v>279</v>
      </c>
    </row>
    <row r="16" ht="87.75" customHeight="1">
      <c r="A16" s="57" t="s">
        <v>79</v>
      </c>
      <c r="B16" s="68" t="s">
        <v>80</v>
      </c>
      <c r="C16" s="69">
        <v>37.5</v>
      </c>
      <c r="D16" s="70"/>
      <c r="E16" s="71">
        <v>0.0</v>
      </c>
      <c r="F16" s="78">
        <v>45953.0</v>
      </c>
      <c r="G16" s="72"/>
      <c r="H16" s="72">
        <v>45960.0</v>
      </c>
      <c r="I16" s="73" t="s">
        <v>81</v>
      </c>
      <c r="J16" s="74" t="s">
        <v>82</v>
      </c>
      <c r="K16" s="73" t="s">
        <v>83</v>
      </c>
      <c r="L16" s="75" t="s">
        <v>84</v>
      </c>
      <c r="M16" s="73" t="s">
        <v>85</v>
      </c>
      <c r="N16" s="73" t="s">
        <v>86</v>
      </c>
      <c r="O16" s="74">
        <v>0.5</v>
      </c>
      <c r="P16" s="74">
        <v>0.75</v>
      </c>
      <c r="Q16" s="71" t="s">
        <v>280</v>
      </c>
      <c r="R16" s="74" t="s">
        <v>52</v>
      </c>
      <c r="S16" s="79" t="s">
        <v>281</v>
      </c>
      <c r="T16" s="73" t="s">
        <v>282</v>
      </c>
    </row>
    <row r="17" ht="66.75" customHeight="1">
      <c r="A17" s="57" t="s">
        <v>88</v>
      </c>
      <c r="B17" s="59" t="s">
        <v>89</v>
      </c>
      <c r="C17" s="60">
        <v>37.5</v>
      </c>
      <c r="D17" s="61"/>
      <c r="E17" s="62">
        <v>0.0</v>
      </c>
      <c r="F17" s="63">
        <v>45953.0</v>
      </c>
      <c r="G17" s="61"/>
      <c r="H17" s="61"/>
      <c r="I17" s="65" t="s">
        <v>90</v>
      </c>
      <c r="J17" s="66" t="s">
        <v>91</v>
      </c>
      <c r="K17" s="65" t="s">
        <v>92</v>
      </c>
      <c r="L17" s="67" t="s">
        <v>93</v>
      </c>
      <c r="M17" s="65" t="s">
        <v>94</v>
      </c>
      <c r="N17" s="65" t="s">
        <v>95</v>
      </c>
      <c r="O17" s="66">
        <v>0.5</v>
      </c>
      <c r="P17" s="66">
        <v>0.75</v>
      </c>
      <c r="Q17" s="62" t="s">
        <v>276</v>
      </c>
      <c r="R17" s="66" t="s">
        <v>70</v>
      </c>
      <c r="S17" s="66" t="s">
        <v>277</v>
      </c>
      <c r="T17" s="61"/>
    </row>
    <row r="18" ht="66.75" customHeight="1">
      <c r="A18" s="57" t="s">
        <v>97</v>
      </c>
      <c r="B18" s="80" t="s">
        <v>98</v>
      </c>
      <c r="C18" s="81">
        <v>37.5</v>
      </c>
      <c r="D18" s="82"/>
      <c r="E18" s="83">
        <v>0.0</v>
      </c>
      <c r="F18" s="84">
        <v>45955.0</v>
      </c>
      <c r="G18" s="82"/>
      <c r="H18" s="82"/>
      <c r="I18" s="85" t="s">
        <v>99</v>
      </c>
      <c r="J18" s="86" t="s">
        <v>91</v>
      </c>
      <c r="K18" s="85" t="s">
        <v>100</v>
      </c>
      <c r="L18" s="87" t="s">
        <v>101</v>
      </c>
      <c r="M18" s="85" t="s">
        <v>102</v>
      </c>
      <c r="N18" s="85" t="s">
        <v>103</v>
      </c>
      <c r="O18" s="86">
        <v>0.5</v>
      </c>
      <c r="P18" s="86">
        <v>0.75</v>
      </c>
      <c r="Q18" s="83" t="s">
        <v>283</v>
      </c>
      <c r="R18" s="86" t="s">
        <v>52</v>
      </c>
      <c r="S18" s="86" t="s">
        <v>281</v>
      </c>
      <c r="T18" s="82"/>
    </row>
    <row r="19" ht="131.25" customHeight="1">
      <c r="A19" s="57" t="s">
        <v>121</v>
      </c>
      <c r="B19" s="59" t="s">
        <v>122</v>
      </c>
      <c r="C19" s="60">
        <v>37.5</v>
      </c>
      <c r="D19" s="61"/>
      <c r="E19" s="62">
        <v>0.0</v>
      </c>
      <c r="F19" s="63">
        <v>45953.0</v>
      </c>
      <c r="G19" s="63">
        <v>45960.0</v>
      </c>
      <c r="H19" s="61"/>
      <c r="I19" s="65" t="s">
        <v>123</v>
      </c>
      <c r="J19" s="66" t="s">
        <v>64</v>
      </c>
      <c r="K19" s="65" t="s">
        <v>124</v>
      </c>
      <c r="L19" s="67" t="s">
        <v>125</v>
      </c>
      <c r="M19" s="65" t="s">
        <v>126</v>
      </c>
      <c r="N19" s="65" t="s">
        <v>284</v>
      </c>
      <c r="O19" s="66">
        <v>0.5</v>
      </c>
      <c r="P19" s="66">
        <v>0.75</v>
      </c>
      <c r="Q19" s="62" t="s">
        <v>278</v>
      </c>
      <c r="R19" s="66" t="s">
        <v>52</v>
      </c>
      <c r="S19" s="66" t="s">
        <v>70</v>
      </c>
      <c r="T19" s="65" t="s">
        <v>285</v>
      </c>
    </row>
    <row r="20">
      <c r="A20" s="57" t="s">
        <v>139</v>
      </c>
      <c r="B20" s="68" t="s">
        <v>140</v>
      </c>
      <c r="C20" s="69">
        <v>37.5</v>
      </c>
      <c r="D20" s="70"/>
      <c r="E20" s="71">
        <v>0.0</v>
      </c>
      <c r="F20" s="72">
        <v>45953.0</v>
      </c>
      <c r="G20" s="70"/>
      <c r="H20" s="70"/>
      <c r="I20" s="73" t="s">
        <v>141</v>
      </c>
      <c r="J20" s="74" t="s">
        <v>132</v>
      </c>
      <c r="K20" s="73" t="s">
        <v>142</v>
      </c>
      <c r="L20" s="75" t="s">
        <v>143</v>
      </c>
      <c r="M20" s="73" t="s">
        <v>144</v>
      </c>
      <c r="N20" s="73" t="s">
        <v>145</v>
      </c>
      <c r="O20" s="74">
        <v>0.5</v>
      </c>
      <c r="P20" s="74">
        <v>0.75</v>
      </c>
      <c r="Q20" s="71" t="s">
        <v>276</v>
      </c>
      <c r="R20" s="74" t="s">
        <v>70</v>
      </c>
      <c r="S20" s="74" t="s">
        <v>277</v>
      </c>
      <c r="T20" s="70"/>
    </row>
    <row r="21">
      <c r="A21" s="57" t="s">
        <v>179</v>
      </c>
      <c r="B21" s="59" t="s">
        <v>180</v>
      </c>
      <c r="C21" s="60">
        <v>37.5</v>
      </c>
      <c r="D21" s="61"/>
      <c r="E21" s="62">
        <v>0.0</v>
      </c>
      <c r="F21" s="63">
        <v>45955.0</v>
      </c>
      <c r="G21" s="61"/>
      <c r="H21" s="61"/>
      <c r="I21" s="65" t="s">
        <v>181</v>
      </c>
      <c r="J21" s="66" t="s">
        <v>64</v>
      </c>
      <c r="K21" s="65" t="s">
        <v>182</v>
      </c>
      <c r="L21" s="67" t="s">
        <v>183</v>
      </c>
      <c r="M21" s="65" t="s">
        <v>184</v>
      </c>
      <c r="N21" s="65" t="s">
        <v>185</v>
      </c>
      <c r="O21" s="66">
        <v>0.5</v>
      </c>
      <c r="P21" s="66">
        <v>0.75</v>
      </c>
      <c r="Q21" s="62" t="s">
        <v>283</v>
      </c>
      <c r="R21" s="66" t="s">
        <v>52</v>
      </c>
      <c r="S21" s="66" t="s">
        <v>281</v>
      </c>
      <c r="T21" s="61"/>
    </row>
    <row r="22">
      <c r="A22" s="57" t="s">
        <v>187</v>
      </c>
      <c r="B22" s="68" t="s">
        <v>188</v>
      </c>
      <c r="C22" s="69">
        <v>37.5</v>
      </c>
      <c r="D22" s="70"/>
      <c r="E22" s="71">
        <v>0.0</v>
      </c>
      <c r="F22" s="72">
        <v>45953.0</v>
      </c>
      <c r="G22" s="70"/>
      <c r="H22" s="70"/>
      <c r="I22" s="73" t="s">
        <v>189</v>
      </c>
      <c r="J22" s="74" t="s">
        <v>82</v>
      </c>
      <c r="K22" s="73" t="s">
        <v>190</v>
      </c>
      <c r="L22" s="75" t="s">
        <v>191</v>
      </c>
      <c r="M22" s="73" t="s">
        <v>192</v>
      </c>
      <c r="N22" s="73" t="s">
        <v>193</v>
      </c>
      <c r="O22" s="74">
        <v>0.5</v>
      </c>
      <c r="P22" s="74">
        <v>0.75</v>
      </c>
      <c r="Q22" s="71" t="s">
        <v>276</v>
      </c>
      <c r="R22" s="74" t="s">
        <v>52</v>
      </c>
      <c r="S22" s="74" t="s">
        <v>70</v>
      </c>
      <c r="T22" s="70"/>
    </row>
    <row r="28">
      <c r="U28" s="88"/>
      <c r="V28" s="88"/>
      <c r="W28" s="88"/>
      <c r="X28" s="88"/>
      <c r="Y28" s="88"/>
      <c r="Z28" s="88"/>
      <c r="AA28" s="88"/>
    </row>
  </sheetData>
  <mergeCells count="17">
    <mergeCell ref="E2:I2"/>
    <mergeCell ref="A11:A12"/>
    <mergeCell ref="B11:B12"/>
    <mergeCell ref="C11:C12"/>
    <mergeCell ref="D11:H11"/>
    <mergeCell ref="I11:I12"/>
    <mergeCell ref="J11:J12"/>
    <mergeCell ref="R11:R12"/>
    <mergeCell ref="S11:S12"/>
    <mergeCell ref="T11:T12"/>
    <mergeCell ref="K11:K12"/>
    <mergeCell ref="L11:L12"/>
    <mergeCell ref="M11:M12"/>
    <mergeCell ref="N11:N12"/>
    <mergeCell ref="O11:O12"/>
    <mergeCell ref="P11:P12"/>
    <mergeCell ref="Q11:Q12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19.63"/>
    <col customWidth="1" min="4" max="4" width="38.13"/>
    <col customWidth="1" min="5" max="5" width="23.13"/>
    <col customWidth="1" min="6" max="6" width="15.63"/>
    <col customWidth="1" min="7" max="7" width="24.63"/>
    <col customWidth="1" min="8" max="8" width="25.88"/>
    <col customWidth="1" min="9" max="9" width="43.0"/>
    <col customWidth="1" min="10" max="10" width="23.75"/>
    <col customWidth="1" min="11" max="11" width="18.38"/>
    <col customWidth="1" min="12" max="12" width="17.63"/>
    <col customWidth="1" min="13" max="13" width="17.13"/>
    <col customWidth="1" min="14" max="14" width="23.25"/>
    <col customWidth="1" min="18" max="18" width="25.13"/>
    <col customWidth="1" min="19" max="19" width="24.13"/>
    <col customWidth="1" min="20" max="20" width="49.75"/>
  </cols>
  <sheetData>
    <row r="1">
      <c r="A1" s="43"/>
    </row>
    <row r="2">
      <c r="B2" s="44" t="s">
        <v>286</v>
      </c>
      <c r="D2" s="1" t="s">
        <v>2</v>
      </c>
      <c r="E2" s="3" t="s">
        <v>3</v>
      </c>
      <c r="F2" s="4"/>
      <c r="G2" s="4"/>
      <c r="H2" s="4"/>
      <c r="I2" s="5"/>
    </row>
    <row r="3">
      <c r="B3" s="44"/>
      <c r="D3" s="6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>
      <c r="D4" s="6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7"/>
    </row>
    <row r="5">
      <c r="D5" s="6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7"/>
    </row>
    <row r="6">
      <c r="D6" s="6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7"/>
    </row>
    <row r="8" ht="1.5" customHeight="1"/>
    <row r="9">
      <c r="A9" s="45"/>
      <c r="B9" s="45"/>
      <c r="C9" s="45"/>
      <c r="D9" s="45"/>
      <c r="E9" s="46"/>
      <c r="F9" s="45"/>
      <c r="G9" s="45"/>
      <c r="H9" s="45"/>
      <c r="I9" s="45"/>
      <c r="J9" s="45"/>
      <c r="K9" s="45"/>
      <c r="L9" s="45"/>
      <c r="M9" s="45"/>
      <c r="N9" s="45"/>
    </row>
    <row r="10" ht="38.25" customHeight="1">
      <c r="A10" s="47"/>
      <c r="B10" s="48"/>
      <c r="C10" s="48"/>
      <c r="D10" s="47"/>
      <c r="E10" s="49"/>
      <c r="F10" s="50"/>
      <c r="G10" s="49"/>
      <c r="H10" s="49"/>
      <c r="I10" s="49"/>
      <c r="J10" s="49"/>
      <c r="K10" s="49"/>
      <c r="L10" s="50"/>
      <c r="M10" s="50"/>
      <c r="N10" s="50"/>
    </row>
    <row r="11" ht="36.75" customHeight="1">
      <c r="A11" s="51" t="s">
        <v>33</v>
      </c>
      <c r="B11" s="51" t="s">
        <v>255</v>
      </c>
      <c r="C11" s="51" t="s">
        <v>256</v>
      </c>
      <c r="D11" s="52" t="s">
        <v>257</v>
      </c>
      <c r="E11" s="53"/>
      <c r="F11" s="53"/>
      <c r="G11" s="53"/>
      <c r="H11" s="54"/>
      <c r="I11" s="51" t="s">
        <v>258</v>
      </c>
      <c r="J11" s="51" t="s">
        <v>259</v>
      </c>
      <c r="K11" s="51" t="s">
        <v>260</v>
      </c>
      <c r="L11" s="51" t="s">
        <v>261</v>
      </c>
      <c r="M11" s="51" t="s">
        <v>262</v>
      </c>
      <c r="N11" s="51" t="s">
        <v>263</v>
      </c>
      <c r="O11" s="51" t="s">
        <v>264</v>
      </c>
      <c r="P11" s="51" t="s">
        <v>265</v>
      </c>
      <c r="Q11" s="51" t="s">
        <v>266</v>
      </c>
      <c r="R11" s="51" t="s">
        <v>267</v>
      </c>
      <c r="S11" s="55" t="s">
        <v>268</v>
      </c>
      <c r="T11" s="51" t="s">
        <v>269</v>
      </c>
    </row>
    <row r="12" ht="39.75" customHeight="1">
      <c r="A12" s="56"/>
      <c r="B12" s="56"/>
      <c r="C12" s="56"/>
      <c r="D12" s="57" t="s">
        <v>270</v>
      </c>
      <c r="E12" s="58" t="s">
        <v>271</v>
      </c>
      <c r="F12" s="58" t="s">
        <v>272</v>
      </c>
      <c r="G12" s="58" t="s">
        <v>273</v>
      </c>
      <c r="H12" s="57" t="s">
        <v>274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ht="90.0" customHeight="1">
      <c r="A13" s="57" t="s">
        <v>171</v>
      </c>
      <c r="B13" s="59" t="s">
        <v>172</v>
      </c>
      <c r="C13" s="60">
        <v>50.0</v>
      </c>
      <c r="D13" s="61"/>
      <c r="E13" s="62">
        <v>2.0</v>
      </c>
      <c r="F13" s="63">
        <v>45953.0</v>
      </c>
      <c r="G13" s="63"/>
      <c r="H13" s="64"/>
      <c r="I13" s="65" t="s">
        <v>173</v>
      </c>
      <c r="J13" s="66" t="s">
        <v>91</v>
      </c>
      <c r="K13" s="65" t="s">
        <v>174</v>
      </c>
      <c r="L13" s="67" t="s">
        <v>175</v>
      </c>
      <c r="M13" s="65" t="s">
        <v>176</v>
      </c>
      <c r="N13" s="65" t="s">
        <v>275</v>
      </c>
      <c r="O13" s="66">
        <v>0.5</v>
      </c>
      <c r="P13" s="66">
        <v>1.0</v>
      </c>
      <c r="Q13" s="61"/>
      <c r="R13" s="66" t="s">
        <v>70</v>
      </c>
      <c r="S13" s="66" t="s">
        <v>277</v>
      </c>
      <c r="T13" s="65"/>
    </row>
    <row r="14" ht="90.75" customHeight="1">
      <c r="A14" s="57" t="s">
        <v>195</v>
      </c>
      <c r="B14" s="68" t="s">
        <v>196</v>
      </c>
      <c r="C14" s="69">
        <v>50.0</v>
      </c>
      <c r="D14" s="70"/>
      <c r="E14" s="71">
        <v>2.0</v>
      </c>
      <c r="F14" s="72">
        <v>45955.0</v>
      </c>
      <c r="G14" s="70"/>
      <c r="H14" s="70"/>
      <c r="I14" s="73" t="s">
        <v>197</v>
      </c>
      <c r="J14" s="74" t="s">
        <v>46</v>
      </c>
      <c r="K14" s="73" t="s">
        <v>198</v>
      </c>
      <c r="L14" s="75" t="s">
        <v>199</v>
      </c>
      <c r="M14" s="73" t="s">
        <v>200</v>
      </c>
      <c r="N14" s="73" t="s">
        <v>201</v>
      </c>
      <c r="O14" s="74">
        <v>0.5</v>
      </c>
      <c r="P14" s="74">
        <v>1.0</v>
      </c>
      <c r="Q14" s="70"/>
      <c r="R14" s="74" t="s">
        <v>70</v>
      </c>
      <c r="S14" s="74" t="s">
        <v>277</v>
      </c>
      <c r="T14" s="70"/>
    </row>
    <row r="15" ht="126.75" customHeight="1">
      <c r="A15" s="57" t="s">
        <v>43</v>
      </c>
      <c r="B15" s="59" t="s">
        <v>44</v>
      </c>
      <c r="C15" s="60">
        <v>37.5</v>
      </c>
      <c r="D15" s="61"/>
      <c r="E15" s="62">
        <v>2.0</v>
      </c>
      <c r="F15" s="76">
        <v>45955.0</v>
      </c>
      <c r="G15" s="63">
        <v>45965.0</v>
      </c>
      <c r="H15" s="61"/>
      <c r="I15" s="65" t="s">
        <v>45</v>
      </c>
      <c r="J15" s="66" t="s">
        <v>46</v>
      </c>
      <c r="K15" s="65" t="s">
        <v>47</v>
      </c>
      <c r="L15" s="67" t="s">
        <v>48</v>
      </c>
      <c r="M15" s="65" t="s">
        <v>49</v>
      </c>
      <c r="N15" s="65" t="s">
        <v>50</v>
      </c>
      <c r="O15" s="66">
        <v>0.5</v>
      </c>
      <c r="P15" s="66">
        <v>0.75</v>
      </c>
      <c r="Q15" s="61"/>
      <c r="R15" s="66" t="s">
        <v>52</v>
      </c>
      <c r="S15" s="77" t="s">
        <v>281</v>
      </c>
      <c r="T15" s="65" t="s">
        <v>287</v>
      </c>
    </row>
    <row r="16" ht="87.75" customHeight="1">
      <c r="A16" s="57" t="s">
        <v>88</v>
      </c>
      <c r="B16" s="59" t="s">
        <v>89</v>
      </c>
      <c r="C16" s="60">
        <v>37.5</v>
      </c>
      <c r="D16" s="61"/>
      <c r="E16" s="62">
        <v>2.0</v>
      </c>
      <c r="F16" s="63">
        <v>45953.0</v>
      </c>
      <c r="G16" s="61"/>
      <c r="H16" s="61"/>
      <c r="I16" s="65" t="s">
        <v>90</v>
      </c>
      <c r="J16" s="66" t="s">
        <v>91</v>
      </c>
      <c r="K16" s="65" t="s">
        <v>92</v>
      </c>
      <c r="L16" s="67" t="s">
        <v>93</v>
      </c>
      <c r="M16" s="65" t="s">
        <v>288</v>
      </c>
      <c r="N16" s="65" t="s">
        <v>289</v>
      </c>
      <c r="O16" s="66">
        <v>0.5</v>
      </c>
      <c r="P16" s="66">
        <v>0.75</v>
      </c>
      <c r="Q16" s="61"/>
      <c r="R16" s="66" t="s">
        <v>70</v>
      </c>
      <c r="S16" s="66" t="s">
        <v>277</v>
      </c>
      <c r="T16" s="61"/>
    </row>
    <row r="17" ht="66.75" customHeight="1">
      <c r="A17" s="57" t="s">
        <v>97</v>
      </c>
      <c r="B17" s="68" t="s">
        <v>98</v>
      </c>
      <c r="C17" s="69">
        <v>37.5</v>
      </c>
      <c r="D17" s="70"/>
      <c r="E17" s="71">
        <v>2.0</v>
      </c>
      <c r="F17" s="72">
        <v>45955.0</v>
      </c>
      <c r="G17" s="70"/>
      <c r="H17" s="70"/>
      <c r="I17" s="73" t="s">
        <v>99</v>
      </c>
      <c r="J17" s="74" t="s">
        <v>91</v>
      </c>
      <c r="K17" s="73" t="s">
        <v>100</v>
      </c>
      <c r="L17" s="75" t="s">
        <v>101</v>
      </c>
      <c r="M17" s="73" t="s">
        <v>102</v>
      </c>
      <c r="N17" s="73" t="s">
        <v>103</v>
      </c>
      <c r="O17" s="74">
        <v>0.5</v>
      </c>
      <c r="P17" s="74">
        <v>0.75</v>
      </c>
      <c r="Q17" s="70"/>
      <c r="R17" s="74" t="s">
        <v>52</v>
      </c>
      <c r="S17" s="74" t="s">
        <v>281</v>
      </c>
      <c r="T17" s="70"/>
    </row>
    <row r="18" ht="66.75" customHeight="1">
      <c r="A18" s="57" t="s">
        <v>121</v>
      </c>
      <c r="B18" s="89" t="s">
        <v>122</v>
      </c>
      <c r="C18" s="90">
        <v>37.5</v>
      </c>
      <c r="D18" s="91"/>
      <c r="E18" s="92">
        <v>2.0</v>
      </c>
      <c r="F18" s="93">
        <v>45953.0</v>
      </c>
      <c r="G18" s="91"/>
      <c r="H18" s="91"/>
      <c r="I18" s="94" t="s">
        <v>123</v>
      </c>
      <c r="J18" s="95" t="s">
        <v>64</v>
      </c>
      <c r="K18" s="94" t="s">
        <v>124</v>
      </c>
      <c r="L18" s="96" t="s">
        <v>125</v>
      </c>
      <c r="M18" s="94" t="s">
        <v>126</v>
      </c>
      <c r="N18" s="94" t="s">
        <v>127</v>
      </c>
      <c r="O18" s="95">
        <v>0.5</v>
      </c>
      <c r="P18" s="95">
        <v>0.75</v>
      </c>
      <c r="Q18" s="91"/>
      <c r="R18" s="95" t="s">
        <v>52</v>
      </c>
      <c r="S18" s="95" t="s">
        <v>281</v>
      </c>
      <c r="T18" s="91"/>
    </row>
    <row r="19" ht="68.25" customHeight="1">
      <c r="A19" s="57" t="s">
        <v>139</v>
      </c>
      <c r="B19" s="68" t="s">
        <v>140</v>
      </c>
      <c r="C19" s="69">
        <v>37.5</v>
      </c>
      <c r="D19" s="70"/>
      <c r="E19" s="71">
        <v>2.0</v>
      </c>
      <c r="F19" s="72">
        <v>45953.0</v>
      </c>
      <c r="G19" s="70"/>
      <c r="H19" s="70"/>
      <c r="I19" s="73" t="s">
        <v>141</v>
      </c>
      <c r="J19" s="74" t="s">
        <v>132</v>
      </c>
      <c r="K19" s="73" t="s">
        <v>142</v>
      </c>
      <c r="L19" s="75" t="s">
        <v>143</v>
      </c>
      <c r="M19" s="73" t="s">
        <v>144</v>
      </c>
      <c r="N19" s="73" t="s">
        <v>145</v>
      </c>
      <c r="O19" s="74">
        <v>0.5</v>
      </c>
      <c r="P19" s="74">
        <v>0.75</v>
      </c>
      <c r="Q19" s="70"/>
      <c r="R19" s="74" t="s">
        <v>70</v>
      </c>
      <c r="S19" s="74" t="s">
        <v>277</v>
      </c>
      <c r="T19" s="70"/>
    </row>
    <row r="20">
      <c r="A20" s="57" t="s">
        <v>179</v>
      </c>
      <c r="B20" s="59" t="s">
        <v>180</v>
      </c>
      <c r="C20" s="60">
        <v>37.5</v>
      </c>
      <c r="D20" s="61"/>
      <c r="E20" s="62">
        <v>2.0</v>
      </c>
      <c r="F20" s="63">
        <v>45955.0</v>
      </c>
      <c r="G20" s="61"/>
      <c r="H20" s="61"/>
      <c r="I20" s="65" t="s">
        <v>181</v>
      </c>
      <c r="J20" s="66" t="s">
        <v>64</v>
      </c>
      <c r="K20" s="65" t="s">
        <v>182</v>
      </c>
      <c r="L20" s="67" t="s">
        <v>183</v>
      </c>
      <c r="M20" s="65" t="s">
        <v>184</v>
      </c>
      <c r="N20" s="65" t="s">
        <v>185</v>
      </c>
      <c r="O20" s="66">
        <v>0.5</v>
      </c>
      <c r="P20" s="66">
        <v>0.75</v>
      </c>
      <c r="Q20" s="61"/>
      <c r="R20" s="66" t="s">
        <v>52</v>
      </c>
      <c r="S20" s="66" t="s">
        <v>281</v>
      </c>
      <c r="T20" s="61"/>
    </row>
    <row r="21">
      <c r="A21" s="57" t="s">
        <v>187</v>
      </c>
      <c r="B21" s="68" t="s">
        <v>188</v>
      </c>
      <c r="C21" s="69">
        <v>37.5</v>
      </c>
      <c r="D21" s="70"/>
      <c r="E21" s="71">
        <v>2.0</v>
      </c>
      <c r="F21" s="72">
        <v>45953.0</v>
      </c>
      <c r="G21" s="70"/>
      <c r="H21" s="70"/>
      <c r="I21" s="73" t="s">
        <v>189</v>
      </c>
      <c r="J21" s="74" t="s">
        <v>82</v>
      </c>
      <c r="K21" s="73" t="s">
        <v>190</v>
      </c>
      <c r="L21" s="75" t="s">
        <v>191</v>
      </c>
      <c r="M21" s="73" t="s">
        <v>192</v>
      </c>
      <c r="N21" s="73" t="s">
        <v>193</v>
      </c>
      <c r="O21" s="74">
        <v>0.5</v>
      </c>
      <c r="P21" s="74">
        <v>0.75</v>
      </c>
      <c r="Q21" s="70"/>
      <c r="R21" s="74" t="s">
        <v>52</v>
      </c>
      <c r="S21" s="74" t="s">
        <v>281</v>
      </c>
      <c r="T21" s="70"/>
    </row>
    <row r="22">
      <c r="A22" s="57" t="s">
        <v>105</v>
      </c>
      <c r="B22" s="73" t="s">
        <v>106</v>
      </c>
      <c r="C22" s="74">
        <v>25.0</v>
      </c>
      <c r="D22" s="70"/>
      <c r="E22" s="71">
        <v>0.0</v>
      </c>
      <c r="F22" s="78">
        <v>45965.0</v>
      </c>
      <c r="G22" s="72"/>
      <c r="H22" s="72"/>
      <c r="I22" s="73" t="s">
        <v>107</v>
      </c>
      <c r="J22" s="74" t="s">
        <v>46</v>
      </c>
      <c r="K22" s="73" t="s">
        <v>108</v>
      </c>
      <c r="L22" s="75" t="s">
        <v>109</v>
      </c>
      <c r="M22" s="73" t="s">
        <v>118</v>
      </c>
      <c r="N22" s="73" t="s">
        <v>119</v>
      </c>
      <c r="O22" s="97">
        <v>0.25</v>
      </c>
      <c r="P22" s="97">
        <v>0.75</v>
      </c>
      <c r="Q22" s="70"/>
      <c r="R22" s="74" t="s">
        <v>52</v>
      </c>
      <c r="S22" s="79" t="s">
        <v>281</v>
      </c>
      <c r="T22" s="73"/>
    </row>
    <row r="28">
      <c r="U28" s="88"/>
      <c r="V28" s="88"/>
      <c r="W28" s="88"/>
      <c r="X28" s="88"/>
      <c r="Y28" s="88"/>
      <c r="Z28" s="88"/>
      <c r="AA28" s="88"/>
    </row>
  </sheetData>
  <mergeCells count="17">
    <mergeCell ref="E2:I2"/>
    <mergeCell ref="A11:A12"/>
    <mergeCell ref="B11:B12"/>
    <mergeCell ref="C11:C12"/>
    <mergeCell ref="D11:H11"/>
    <mergeCell ref="I11:I12"/>
    <mergeCell ref="J11:J12"/>
    <mergeCell ref="R11:R12"/>
    <mergeCell ref="S11:S12"/>
    <mergeCell ref="T11:T12"/>
    <mergeCell ref="K11:K12"/>
    <mergeCell ref="L11:L12"/>
    <mergeCell ref="M11:M12"/>
    <mergeCell ref="N11:N12"/>
    <mergeCell ref="O11:O12"/>
    <mergeCell ref="P11:P12"/>
    <mergeCell ref="Q11:Q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19.63"/>
    <col customWidth="1" min="4" max="4" width="38.13"/>
    <col customWidth="1" min="5" max="5" width="23.13"/>
    <col customWidth="1" min="6" max="6" width="15.63"/>
    <col customWidth="1" min="7" max="7" width="24.63"/>
    <col customWidth="1" min="8" max="8" width="25.88"/>
    <col customWidth="1" min="9" max="9" width="43.0"/>
    <col customWidth="1" min="10" max="10" width="23.75"/>
    <col customWidth="1" min="11" max="11" width="18.38"/>
    <col customWidth="1" min="12" max="12" width="17.63"/>
    <col customWidth="1" min="13" max="13" width="17.13"/>
    <col customWidth="1" min="14" max="14" width="23.25"/>
    <col customWidth="1" min="18" max="18" width="25.13"/>
    <col customWidth="1" min="19" max="19" width="24.13"/>
    <col customWidth="1" min="20" max="20" width="65.75"/>
  </cols>
  <sheetData>
    <row r="1">
      <c r="A1" s="43"/>
    </row>
    <row r="2">
      <c r="B2" s="44" t="s">
        <v>290</v>
      </c>
      <c r="D2" s="1" t="s">
        <v>2</v>
      </c>
      <c r="E2" s="3" t="s">
        <v>3</v>
      </c>
      <c r="F2" s="4"/>
      <c r="G2" s="4"/>
      <c r="H2" s="4"/>
      <c r="I2" s="5"/>
    </row>
    <row r="3">
      <c r="B3" s="44"/>
      <c r="D3" s="6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>
      <c r="D4" s="6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7"/>
    </row>
    <row r="5">
      <c r="D5" s="6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7"/>
    </row>
    <row r="6">
      <c r="D6" s="6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7"/>
    </row>
    <row r="8" ht="1.5" customHeight="1"/>
    <row r="9">
      <c r="A9" s="45"/>
      <c r="B9" s="45"/>
      <c r="C9" s="45"/>
      <c r="D9" s="45"/>
      <c r="E9" s="46"/>
      <c r="F9" s="45"/>
      <c r="G9" s="45"/>
      <c r="H9" s="45"/>
      <c r="I9" s="45"/>
      <c r="J9" s="45"/>
      <c r="K9" s="45"/>
      <c r="L9" s="45"/>
      <c r="M9" s="45"/>
      <c r="N9" s="45"/>
    </row>
    <row r="10" ht="38.25" customHeight="1">
      <c r="A10" s="47"/>
      <c r="B10" s="48"/>
      <c r="C10" s="48"/>
      <c r="D10" s="47"/>
      <c r="E10" s="49"/>
      <c r="F10" s="50"/>
      <c r="G10" s="49"/>
      <c r="H10" s="49"/>
      <c r="I10" s="49"/>
      <c r="J10" s="49"/>
      <c r="K10" s="49"/>
      <c r="L10" s="50"/>
      <c r="M10" s="50"/>
      <c r="N10" s="50"/>
    </row>
    <row r="11" ht="36.75" customHeight="1">
      <c r="A11" s="51" t="s">
        <v>33</v>
      </c>
      <c r="B11" s="51" t="s">
        <v>255</v>
      </c>
      <c r="C11" s="51" t="s">
        <v>256</v>
      </c>
      <c r="D11" s="52" t="s">
        <v>257</v>
      </c>
      <c r="E11" s="53"/>
      <c r="F11" s="53"/>
      <c r="G11" s="53"/>
      <c r="H11" s="54"/>
      <c r="I11" s="51" t="s">
        <v>258</v>
      </c>
      <c r="J11" s="51" t="s">
        <v>259</v>
      </c>
      <c r="K11" s="51" t="s">
        <v>260</v>
      </c>
      <c r="L11" s="51" t="s">
        <v>261</v>
      </c>
      <c r="M11" s="51" t="s">
        <v>262</v>
      </c>
      <c r="N11" s="51" t="s">
        <v>263</v>
      </c>
      <c r="O11" s="51" t="s">
        <v>264</v>
      </c>
      <c r="P11" s="51" t="s">
        <v>265</v>
      </c>
      <c r="Q11" s="51" t="s">
        <v>266</v>
      </c>
      <c r="R11" s="51" t="s">
        <v>267</v>
      </c>
      <c r="S11" s="55" t="s">
        <v>268</v>
      </c>
      <c r="T11" s="51" t="s">
        <v>269</v>
      </c>
    </row>
    <row r="12" ht="39.75" customHeight="1">
      <c r="A12" s="56"/>
      <c r="B12" s="56"/>
      <c r="C12" s="56"/>
      <c r="D12" s="57" t="s">
        <v>270</v>
      </c>
      <c r="E12" s="58" t="s">
        <v>271</v>
      </c>
      <c r="F12" s="58" t="s">
        <v>272</v>
      </c>
      <c r="G12" s="58" t="s">
        <v>273</v>
      </c>
      <c r="H12" s="57" t="s">
        <v>274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ht="90.0" customHeight="1">
      <c r="A13" s="57" t="s">
        <v>171</v>
      </c>
      <c r="B13" s="59" t="s">
        <v>172</v>
      </c>
      <c r="C13" s="60">
        <v>50.0</v>
      </c>
      <c r="D13" s="61"/>
      <c r="E13" s="62">
        <v>2.0</v>
      </c>
      <c r="F13" s="63">
        <v>45953.0</v>
      </c>
      <c r="G13" s="63"/>
      <c r="H13" s="64"/>
      <c r="I13" s="65" t="s">
        <v>173</v>
      </c>
      <c r="J13" s="66" t="s">
        <v>91</v>
      </c>
      <c r="K13" s="65" t="s">
        <v>174</v>
      </c>
      <c r="L13" s="67" t="s">
        <v>175</v>
      </c>
      <c r="M13" s="65" t="s">
        <v>176</v>
      </c>
      <c r="N13" s="65" t="s">
        <v>275</v>
      </c>
      <c r="O13" s="66">
        <v>0.5</v>
      </c>
      <c r="P13" s="66">
        <v>1.0</v>
      </c>
      <c r="Q13" s="61"/>
      <c r="R13" s="66" t="s">
        <v>70</v>
      </c>
      <c r="S13" s="66" t="s">
        <v>277</v>
      </c>
      <c r="T13" s="65"/>
    </row>
    <row r="14" ht="90.75" customHeight="1">
      <c r="A14" s="57" t="s">
        <v>195</v>
      </c>
      <c r="B14" s="68" t="s">
        <v>196</v>
      </c>
      <c r="C14" s="69">
        <v>50.0</v>
      </c>
      <c r="D14" s="70"/>
      <c r="E14" s="71">
        <v>2.0</v>
      </c>
      <c r="F14" s="72">
        <v>45955.0</v>
      </c>
      <c r="G14" s="70"/>
      <c r="H14" s="70"/>
      <c r="I14" s="73" t="s">
        <v>197</v>
      </c>
      <c r="J14" s="74" t="s">
        <v>46</v>
      </c>
      <c r="K14" s="73" t="s">
        <v>198</v>
      </c>
      <c r="L14" s="75" t="s">
        <v>199</v>
      </c>
      <c r="M14" s="73" t="s">
        <v>200</v>
      </c>
      <c r="N14" s="73" t="s">
        <v>201</v>
      </c>
      <c r="O14" s="74">
        <v>0.5</v>
      </c>
      <c r="P14" s="74">
        <v>1.0</v>
      </c>
      <c r="Q14" s="70"/>
      <c r="R14" s="74" t="s">
        <v>70</v>
      </c>
      <c r="S14" s="74" t="s">
        <v>277</v>
      </c>
      <c r="T14" s="70"/>
    </row>
    <row r="15" ht="126.75" customHeight="1">
      <c r="A15" s="57" t="s">
        <v>43</v>
      </c>
      <c r="B15" s="59" t="s">
        <v>44</v>
      </c>
      <c r="C15" s="60">
        <v>37.5</v>
      </c>
      <c r="D15" s="61"/>
      <c r="E15" s="62">
        <v>2.0</v>
      </c>
      <c r="F15" s="76">
        <v>45955.0</v>
      </c>
      <c r="G15" s="63">
        <v>45988.0</v>
      </c>
      <c r="H15" s="61"/>
      <c r="I15" s="65" t="s">
        <v>45</v>
      </c>
      <c r="J15" s="66" t="s">
        <v>46</v>
      </c>
      <c r="K15" s="65" t="s">
        <v>47</v>
      </c>
      <c r="L15" s="67" t="s">
        <v>48</v>
      </c>
      <c r="M15" s="65" t="s">
        <v>49</v>
      </c>
      <c r="N15" s="65" t="s">
        <v>50</v>
      </c>
      <c r="O15" s="66">
        <v>0.5</v>
      </c>
      <c r="P15" s="66">
        <v>0.75</v>
      </c>
      <c r="Q15" s="61"/>
      <c r="R15" s="66" t="s">
        <v>52</v>
      </c>
      <c r="S15" s="77" t="s">
        <v>281</v>
      </c>
      <c r="T15" s="65" t="s">
        <v>291</v>
      </c>
    </row>
    <row r="16" ht="87.75" customHeight="1">
      <c r="A16" s="57" t="s">
        <v>88</v>
      </c>
      <c r="B16" s="59" t="s">
        <v>89</v>
      </c>
      <c r="C16" s="60">
        <v>37.5</v>
      </c>
      <c r="D16" s="61"/>
      <c r="E16" s="62">
        <v>2.0</v>
      </c>
      <c r="F16" s="63">
        <v>45953.0</v>
      </c>
      <c r="G16" s="61"/>
      <c r="H16" s="61"/>
      <c r="I16" s="65" t="s">
        <v>90</v>
      </c>
      <c r="J16" s="66" t="s">
        <v>91</v>
      </c>
      <c r="K16" s="65" t="s">
        <v>92</v>
      </c>
      <c r="L16" s="67" t="s">
        <v>93</v>
      </c>
      <c r="M16" s="65" t="s">
        <v>288</v>
      </c>
      <c r="N16" s="65" t="s">
        <v>289</v>
      </c>
      <c r="O16" s="66">
        <v>0.5</v>
      </c>
      <c r="P16" s="66">
        <v>0.75</v>
      </c>
      <c r="Q16" s="61"/>
      <c r="R16" s="66" t="s">
        <v>70</v>
      </c>
      <c r="S16" s="66" t="s">
        <v>277</v>
      </c>
      <c r="T16" s="61"/>
    </row>
    <row r="17" ht="75.75" customHeight="1">
      <c r="A17" s="57" t="s">
        <v>97</v>
      </c>
      <c r="B17" s="68" t="s">
        <v>98</v>
      </c>
      <c r="C17" s="69">
        <v>37.5</v>
      </c>
      <c r="D17" s="70"/>
      <c r="E17" s="71">
        <v>2.0</v>
      </c>
      <c r="F17" s="72">
        <v>45955.0</v>
      </c>
      <c r="G17" s="98">
        <v>45986.0</v>
      </c>
      <c r="H17" s="70"/>
      <c r="I17" s="73" t="s">
        <v>99</v>
      </c>
      <c r="J17" s="74" t="s">
        <v>91</v>
      </c>
      <c r="K17" s="73" t="s">
        <v>100</v>
      </c>
      <c r="L17" s="75" t="s">
        <v>101</v>
      </c>
      <c r="M17" s="73" t="s">
        <v>102</v>
      </c>
      <c r="N17" s="73" t="s">
        <v>103</v>
      </c>
      <c r="O17" s="74">
        <v>0.5</v>
      </c>
      <c r="P17" s="74">
        <v>0.75</v>
      </c>
      <c r="Q17" s="70"/>
      <c r="R17" s="74" t="s">
        <v>52</v>
      </c>
      <c r="S17" s="74" t="s">
        <v>281</v>
      </c>
      <c r="T17" s="73" t="s">
        <v>292</v>
      </c>
    </row>
    <row r="18" ht="95.25" customHeight="1">
      <c r="A18" s="57" t="s">
        <v>121</v>
      </c>
      <c r="B18" s="89" t="s">
        <v>122</v>
      </c>
      <c r="C18" s="90">
        <v>37.5</v>
      </c>
      <c r="D18" s="91"/>
      <c r="E18" s="92">
        <v>2.0</v>
      </c>
      <c r="F18" s="93">
        <v>45953.0</v>
      </c>
      <c r="G18" s="93">
        <v>45988.0</v>
      </c>
      <c r="H18" s="91"/>
      <c r="I18" s="94" t="s">
        <v>123</v>
      </c>
      <c r="J18" s="95" t="s">
        <v>64</v>
      </c>
      <c r="K18" s="94" t="s">
        <v>124</v>
      </c>
      <c r="L18" s="96" t="s">
        <v>125</v>
      </c>
      <c r="M18" s="94" t="s">
        <v>126</v>
      </c>
      <c r="N18" s="94" t="s">
        <v>284</v>
      </c>
      <c r="O18" s="95">
        <v>0.5</v>
      </c>
      <c r="P18" s="95">
        <v>0.75</v>
      </c>
      <c r="Q18" s="91"/>
      <c r="R18" s="95" t="s">
        <v>52</v>
      </c>
      <c r="S18" s="95" t="s">
        <v>281</v>
      </c>
      <c r="T18" s="94" t="s">
        <v>293</v>
      </c>
    </row>
    <row r="19" ht="68.25" customHeight="1">
      <c r="A19" s="57" t="s">
        <v>139</v>
      </c>
      <c r="B19" s="68" t="s">
        <v>140</v>
      </c>
      <c r="C19" s="69">
        <v>37.5</v>
      </c>
      <c r="D19" s="70"/>
      <c r="E19" s="71">
        <v>2.0</v>
      </c>
      <c r="F19" s="72">
        <v>45953.0</v>
      </c>
      <c r="G19" s="70"/>
      <c r="H19" s="70"/>
      <c r="I19" s="73" t="s">
        <v>141</v>
      </c>
      <c r="J19" s="74" t="s">
        <v>132</v>
      </c>
      <c r="K19" s="73" t="s">
        <v>142</v>
      </c>
      <c r="L19" s="75" t="s">
        <v>143</v>
      </c>
      <c r="M19" s="73" t="s">
        <v>144</v>
      </c>
      <c r="N19" s="73" t="s">
        <v>145</v>
      </c>
      <c r="O19" s="74">
        <v>0.5</v>
      </c>
      <c r="P19" s="74">
        <v>0.75</v>
      </c>
      <c r="Q19" s="70"/>
      <c r="R19" s="74" t="s">
        <v>70</v>
      </c>
      <c r="S19" s="74" t="s">
        <v>277</v>
      </c>
      <c r="T19" s="70"/>
    </row>
    <row r="20">
      <c r="A20" s="57" t="s">
        <v>179</v>
      </c>
      <c r="B20" s="59" t="s">
        <v>180</v>
      </c>
      <c r="C20" s="60">
        <v>37.5</v>
      </c>
      <c r="D20" s="61"/>
      <c r="E20" s="62">
        <v>2.0</v>
      </c>
      <c r="F20" s="63">
        <v>45955.0</v>
      </c>
      <c r="G20" s="61"/>
      <c r="H20" s="61"/>
      <c r="I20" s="65" t="s">
        <v>181</v>
      </c>
      <c r="J20" s="66" t="s">
        <v>64</v>
      </c>
      <c r="K20" s="65" t="s">
        <v>182</v>
      </c>
      <c r="L20" s="67" t="s">
        <v>183</v>
      </c>
      <c r="M20" s="65" t="s">
        <v>184</v>
      </c>
      <c r="N20" s="65" t="s">
        <v>185</v>
      </c>
      <c r="O20" s="66">
        <v>0.5</v>
      </c>
      <c r="P20" s="66">
        <v>0.75</v>
      </c>
      <c r="Q20" s="61"/>
      <c r="R20" s="66" t="s">
        <v>52</v>
      </c>
      <c r="S20" s="66" t="s">
        <v>281</v>
      </c>
      <c r="T20" s="61"/>
    </row>
    <row r="21">
      <c r="A21" s="57" t="s">
        <v>187</v>
      </c>
      <c r="B21" s="68" t="s">
        <v>188</v>
      </c>
      <c r="C21" s="69">
        <v>37.5</v>
      </c>
      <c r="D21" s="70"/>
      <c r="E21" s="71">
        <v>2.0</v>
      </c>
      <c r="F21" s="72">
        <v>45953.0</v>
      </c>
      <c r="G21" s="70"/>
      <c r="H21" s="70"/>
      <c r="I21" s="73" t="s">
        <v>189</v>
      </c>
      <c r="J21" s="74" t="s">
        <v>82</v>
      </c>
      <c r="K21" s="73" t="s">
        <v>190</v>
      </c>
      <c r="L21" s="75" t="s">
        <v>191</v>
      </c>
      <c r="M21" s="73" t="s">
        <v>192</v>
      </c>
      <c r="N21" s="73" t="s">
        <v>193</v>
      </c>
      <c r="O21" s="74">
        <v>0.5</v>
      </c>
      <c r="P21" s="74">
        <v>0.75</v>
      </c>
      <c r="Q21" s="70"/>
      <c r="R21" s="74" t="s">
        <v>52</v>
      </c>
      <c r="S21" s="74" t="s">
        <v>281</v>
      </c>
      <c r="T21" s="70"/>
    </row>
    <row r="22">
      <c r="A22" s="57" t="s">
        <v>105</v>
      </c>
      <c r="B22" s="73" t="s">
        <v>106</v>
      </c>
      <c r="C22" s="74">
        <v>25.0</v>
      </c>
      <c r="D22" s="70"/>
      <c r="E22" s="71">
        <v>0.0</v>
      </c>
      <c r="F22" s="78">
        <v>45965.0</v>
      </c>
      <c r="G22" s="72"/>
      <c r="H22" s="72"/>
      <c r="I22" s="73" t="s">
        <v>107</v>
      </c>
      <c r="J22" s="74" t="s">
        <v>46</v>
      </c>
      <c r="K22" s="73" t="s">
        <v>108</v>
      </c>
      <c r="L22" s="75" t="s">
        <v>109</v>
      </c>
      <c r="M22" s="73" t="s">
        <v>118</v>
      </c>
      <c r="N22" s="73" t="s">
        <v>119</v>
      </c>
      <c r="O22" s="97">
        <v>0.25</v>
      </c>
      <c r="P22" s="97">
        <v>0.75</v>
      </c>
      <c r="Q22" s="70"/>
      <c r="R22" s="74" t="s">
        <v>52</v>
      </c>
      <c r="S22" s="79" t="s">
        <v>281</v>
      </c>
      <c r="T22" s="73"/>
    </row>
    <row r="28">
      <c r="U28" s="88"/>
      <c r="V28" s="88"/>
      <c r="W28" s="88"/>
      <c r="X28" s="88"/>
      <c r="Y28" s="88"/>
      <c r="Z28" s="88"/>
      <c r="AA28" s="88"/>
    </row>
  </sheetData>
  <mergeCells count="17">
    <mergeCell ref="E2:I2"/>
    <mergeCell ref="A11:A12"/>
    <mergeCell ref="B11:B12"/>
    <mergeCell ref="C11:C12"/>
    <mergeCell ref="D11:H11"/>
    <mergeCell ref="I11:I12"/>
    <mergeCell ref="J11:J12"/>
    <mergeCell ref="R11:R12"/>
    <mergeCell ref="S11:S12"/>
    <mergeCell ref="T11:T12"/>
    <mergeCell ref="K11:K12"/>
    <mergeCell ref="L11:L12"/>
    <mergeCell ref="M11:M12"/>
    <mergeCell ref="N11:N12"/>
    <mergeCell ref="O11:O12"/>
    <mergeCell ref="P11:P12"/>
    <mergeCell ref="Q11:Q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19.63"/>
    <col customWidth="1" min="4" max="4" width="38.13"/>
    <col customWidth="1" min="5" max="5" width="23.13"/>
    <col customWidth="1" min="6" max="6" width="15.63"/>
    <col customWidth="1" min="7" max="7" width="24.63"/>
    <col customWidth="1" min="8" max="8" width="25.88"/>
    <col customWidth="1" min="9" max="9" width="43.0"/>
    <col customWidth="1" min="10" max="10" width="23.75"/>
    <col customWidth="1" min="11" max="11" width="18.38"/>
    <col customWidth="1" min="12" max="12" width="17.63"/>
    <col customWidth="1" min="13" max="13" width="17.13"/>
    <col customWidth="1" min="14" max="14" width="23.25"/>
    <col customWidth="1" min="18" max="18" width="25.13"/>
    <col customWidth="1" min="19" max="19" width="24.13"/>
    <col customWidth="1" min="20" max="20" width="65.75"/>
  </cols>
  <sheetData>
    <row r="1">
      <c r="A1" s="43"/>
    </row>
    <row r="2">
      <c r="B2" s="44" t="s">
        <v>294</v>
      </c>
      <c r="D2" s="1" t="s">
        <v>2</v>
      </c>
      <c r="E2" s="3" t="s">
        <v>3</v>
      </c>
      <c r="F2" s="4"/>
      <c r="G2" s="4"/>
      <c r="H2" s="4"/>
      <c r="I2" s="5"/>
    </row>
    <row r="3">
      <c r="B3" s="44"/>
      <c r="D3" s="6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>
      <c r="D4" s="6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7"/>
    </row>
    <row r="5">
      <c r="D5" s="6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7"/>
    </row>
    <row r="6">
      <c r="D6" s="6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7"/>
    </row>
    <row r="8" ht="1.5" customHeight="1"/>
    <row r="9">
      <c r="A9" s="45"/>
      <c r="B9" s="45"/>
      <c r="C9" s="45"/>
      <c r="D9" s="45"/>
      <c r="E9" s="46"/>
      <c r="F9" s="45"/>
      <c r="G9" s="45"/>
      <c r="H9" s="45"/>
      <c r="I9" s="45"/>
      <c r="J9" s="45"/>
      <c r="K9" s="45"/>
      <c r="L9" s="45"/>
      <c r="M9" s="45"/>
      <c r="N9" s="45"/>
    </row>
    <row r="10" ht="38.25" customHeight="1">
      <c r="A10" s="47"/>
      <c r="B10" s="48"/>
      <c r="C10" s="48"/>
      <c r="D10" s="47"/>
      <c r="E10" s="49"/>
      <c r="F10" s="50"/>
      <c r="G10" s="49"/>
      <c r="H10" s="49"/>
      <c r="I10" s="49"/>
      <c r="J10" s="49"/>
      <c r="K10" s="49"/>
      <c r="L10" s="50"/>
      <c r="M10" s="50"/>
      <c r="N10" s="50"/>
    </row>
    <row r="11" ht="36.75" customHeight="1">
      <c r="A11" s="51" t="s">
        <v>33</v>
      </c>
      <c r="B11" s="51" t="s">
        <v>255</v>
      </c>
      <c r="C11" s="51" t="s">
        <v>256</v>
      </c>
      <c r="D11" s="52" t="s">
        <v>257</v>
      </c>
      <c r="E11" s="53"/>
      <c r="F11" s="53"/>
      <c r="G11" s="53"/>
      <c r="H11" s="54"/>
      <c r="I11" s="51" t="s">
        <v>258</v>
      </c>
      <c r="J11" s="51" t="s">
        <v>259</v>
      </c>
      <c r="K11" s="51" t="s">
        <v>260</v>
      </c>
      <c r="L11" s="51" t="s">
        <v>261</v>
      </c>
      <c r="M11" s="51" t="s">
        <v>262</v>
      </c>
      <c r="N11" s="51" t="s">
        <v>263</v>
      </c>
      <c r="O11" s="51" t="s">
        <v>264</v>
      </c>
      <c r="P11" s="51" t="s">
        <v>265</v>
      </c>
      <c r="Q11" s="51" t="s">
        <v>266</v>
      </c>
      <c r="R11" s="51" t="s">
        <v>267</v>
      </c>
      <c r="S11" s="55" t="s">
        <v>268</v>
      </c>
      <c r="T11" s="51" t="s">
        <v>269</v>
      </c>
    </row>
    <row r="12" ht="39.75" customHeight="1">
      <c r="A12" s="56"/>
      <c r="B12" s="56"/>
      <c r="C12" s="56"/>
      <c r="D12" s="57" t="s">
        <v>270</v>
      </c>
      <c r="E12" s="58" t="s">
        <v>271</v>
      </c>
      <c r="F12" s="58" t="s">
        <v>272</v>
      </c>
      <c r="G12" s="58" t="s">
        <v>273</v>
      </c>
      <c r="H12" s="57" t="s">
        <v>274</v>
      </c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ht="90.0" customHeight="1">
      <c r="A13" s="57" t="s">
        <v>171</v>
      </c>
      <c r="B13" s="59" t="s">
        <v>172</v>
      </c>
      <c r="C13" s="60">
        <v>50.0</v>
      </c>
      <c r="D13" s="61"/>
      <c r="E13" s="62">
        <v>3.0</v>
      </c>
      <c r="F13" s="63">
        <v>45953.0</v>
      </c>
      <c r="G13" s="63"/>
      <c r="H13" s="64"/>
      <c r="I13" s="65" t="s">
        <v>173</v>
      </c>
      <c r="J13" s="66" t="s">
        <v>91</v>
      </c>
      <c r="K13" s="65" t="s">
        <v>174</v>
      </c>
      <c r="L13" s="67" t="s">
        <v>175</v>
      </c>
      <c r="M13" s="65" t="s">
        <v>176</v>
      </c>
      <c r="N13" s="65" t="s">
        <v>275</v>
      </c>
      <c r="O13" s="66">
        <v>0.5</v>
      </c>
      <c r="P13" s="66">
        <v>1.0</v>
      </c>
      <c r="Q13" s="61"/>
      <c r="R13" s="66" t="s">
        <v>70</v>
      </c>
      <c r="S13" s="66" t="s">
        <v>277</v>
      </c>
      <c r="T13" s="65"/>
    </row>
    <row r="14" ht="90.75" customHeight="1">
      <c r="A14" s="57" t="s">
        <v>195</v>
      </c>
      <c r="B14" s="68" t="s">
        <v>196</v>
      </c>
      <c r="C14" s="69">
        <v>50.0</v>
      </c>
      <c r="D14" s="70"/>
      <c r="E14" s="71">
        <v>3.0</v>
      </c>
      <c r="F14" s="72">
        <v>45955.0</v>
      </c>
      <c r="G14" s="70"/>
      <c r="H14" s="70"/>
      <c r="I14" s="73" t="s">
        <v>197</v>
      </c>
      <c r="J14" s="74" t="s">
        <v>46</v>
      </c>
      <c r="K14" s="73" t="s">
        <v>198</v>
      </c>
      <c r="L14" s="75" t="s">
        <v>199</v>
      </c>
      <c r="M14" s="73" t="s">
        <v>200</v>
      </c>
      <c r="N14" s="73" t="s">
        <v>201</v>
      </c>
      <c r="O14" s="74">
        <v>0.5</v>
      </c>
      <c r="P14" s="74">
        <v>1.0</v>
      </c>
      <c r="Q14" s="70"/>
      <c r="R14" s="74" t="s">
        <v>70</v>
      </c>
      <c r="S14" s="74" t="s">
        <v>277</v>
      </c>
      <c r="T14" s="70"/>
    </row>
    <row r="15" ht="126.75" customHeight="1">
      <c r="A15" s="57" t="s">
        <v>43</v>
      </c>
      <c r="B15" s="59" t="s">
        <v>44</v>
      </c>
      <c r="C15" s="60">
        <v>37.5</v>
      </c>
      <c r="D15" s="61"/>
      <c r="E15" s="62">
        <v>3.0</v>
      </c>
      <c r="F15" s="76">
        <v>45955.0</v>
      </c>
      <c r="G15" s="63">
        <v>45988.0</v>
      </c>
      <c r="H15" s="61"/>
      <c r="I15" s="65" t="s">
        <v>45</v>
      </c>
      <c r="J15" s="66" t="s">
        <v>46</v>
      </c>
      <c r="K15" s="65" t="s">
        <v>47</v>
      </c>
      <c r="L15" s="67" t="s">
        <v>48</v>
      </c>
      <c r="M15" s="65" t="s">
        <v>49</v>
      </c>
      <c r="N15" s="65" t="s">
        <v>50</v>
      </c>
      <c r="O15" s="66">
        <v>0.5</v>
      </c>
      <c r="P15" s="66">
        <v>0.75</v>
      </c>
      <c r="Q15" s="61"/>
      <c r="R15" s="66" t="s">
        <v>52</v>
      </c>
      <c r="S15" s="77" t="s">
        <v>281</v>
      </c>
      <c r="T15" s="65"/>
    </row>
    <row r="16" ht="87.75" customHeight="1">
      <c r="A16" s="57" t="s">
        <v>88</v>
      </c>
      <c r="B16" s="59" t="s">
        <v>89</v>
      </c>
      <c r="C16" s="60">
        <v>37.5</v>
      </c>
      <c r="D16" s="61"/>
      <c r="E16" s="62">
        <v>3.0</v>
      </c>
      <c r="F16" s="63">
        <v>45953.0</v>
      </c>
      <c r="G16" s="61"/>
      <c r="H16" s="61"/>
      <c r="I16" s="65" t="s">
        <v>90</v>
      </c>
      <c r="J16" s="66" t="s">
        <v>91</v>
      </c>
      <c r="K16" s="65" t="s">
        <v>92</v>
      </c>
      <c r="L16" s="67" t="s">
        <v>93</v>
      </c>
      <c r="M16" s="65" t="s">
        <v>288</v>
      </c>
      <c r="N16" s="65" t="s">
        <v>289</v>
      </c>
      <c r="O16" s="66">
        <v>0.5</v>
      </c>
      <c r="P16" s="66">
        <v>0.75</v>
      </c>
      <c r="Q16" s="61"/>
      <c r="R16" s="66" t="s">
        <v>70</v>
      </c>
      <c r="S16" s="66" t="s">
        <v>277</v>
      </c>
      <c r="T16" s="61"/>
    </row>
    <row r="17" ht="75.75" customHeight="1">
      <c r="A17" s="57" t="s">
        <v>97</v>
      </c>
      <c r="B17" s="68" t="s">
        <v>98</v>
      </c>
      <c r="C17" s="69">
        <v>37.5</v>
      </c>
      <c r="D17" s="70"/>
      <c r="E17" s="71">
        <v>3.0</v>
      </c>
      <c r="F17" s="72">
        <v>45955.0</v>
      </c>
      <c r="G17" s="98">
        <v>45986.0</v>
      </c>
      <c r="H17" s="70"/>
      <c r="I17" s="73" t="s">
        <v>99</v>
      </c>
      <c r="J17" s="74" t="s">
        <v>91</v>
      </c>
      <c r="K17" s="73" t="s">
        <v>100</v>
      </c>
      <c r="L17" s="75" t="s">
        <v>101</v>
      </c>
      <c r="M17" s="73" t="s">
        <v>102</v>
      </c>
      <c r="N17" s="73" t="s">
        <v>103</v>
      </c>
      <c r="O17" s="74">
        <v>0.5</v>
      </c>
      <c r="P17" s="74">
        <v>0.75</v>
      </c>
      <c r="Q17" s="70"/>
      <c r="R17" s="74" t="s">
        <v>52</v>
      </c>
      <c r="S17" s="74" t="s">
        <v>281</v>
      </c>
      <c r="T17" s="73"/>
    </row>
    <row r="18" ht="95.25" customHeight="1">
      <c r="A18" s="57" t="s">
        <v>121</v>
      </c>
      <c r="B18" s="89" t="s">
        <v>122</v>
      </c>
      <c r="C18" s="90">
        <v>37.5</v>
      </c>
      <c r="D18" s="91"/>
      <c r="E18" s="92">
        <v>3.0</v>
      </c>
      <c r="F18" s="93">
        <v>45953.0</v>
      </c>
      <c r="G18" s="93">
        <v>45988.0</v>
      </c>
      <c r="H18" s="91"/>
      <c r="I18" s="94" t="s">
        <v>123</v>
      </c>
      <c r="J18" s="95" t="s">
        <v>64</v>
      </c>
      <c r="K18" s="94" t="s">
        <v>124</v>
      </c>
      <c r="L18" s="96" t="s">
        <v>125</v>
      </c>
      <c r="M18" s="94" t="s">
        <v>126</v>
      </c>
      <c r="N18" s="94" t="s">
        <v>284</v>
      </c>
      <c r="O18" s="95">
        <v>0.5</v>
      </c>
      <c r="P18" s="95">
        <v>0.75</v>
      </c>
      <c r="Q18" s="91"/>
      <c r="R18" s="95" t="s">
        <v>52</v>
      </c>
      <c r="S18" s="95" t="s">
        <v>281</v>
      </c>
      <c r="T18" s="94"/>
    </row>
    <row r="19" ht="68.25" customHeight="1">
      <c r="A19" s="57" t="s">
        <v>139</v>
      </c>
      <c r="B19" s="68" t="s">
        <v>140</v>
      </c>
      <c r="C19" s="69">
        <v>37.5</v>
      </c>
      <c r="D19" s="70"/>
      <c r="E19" s="71">
        <v>3.0</v>
      </c>
      <c r="F19" s="72">
        <v>45953.0</v>
      </c>
      <c r="G19" s="70"/>
      <c r="H19" s="70"/>
      <c r="I19" s="73" t="s">
        <v>141</v>
      </c>
      <c r="J19" s="74" t="s">
        <v>132</v>
      </c>
      <c r="K19" s="73" t="s">
        <v>142</v>
      </c>
      <c r="L19" s="75" t="s">
        <v>143</v>
      </c>
      <c r="M19" s="73" t="s">
        <v>144</v>
      </c>
      <c r="N19" s="73" t="s">
        <v>145</v>
      </c>
      <c r="O19" s="74">
        <v>0.5</v>
      </c>
      <c r="P19" s="74">
        <v>0.75</v>
      </c>
      <c r="Q19" s="70"/>
      <c r="R19" s="74" t="s">
        <v>70</v>
      </c>
      <c r="S19" s="74" t="s">
        <v>277</v>
      </c>
      <c r="T19" s="70"/>
    </row>
    <row r="20">
      <c r="A20" s="57" t="s">
        <v>179</v>
      </c>
      <c r="B20" s="59" t="s">
        <v>180</v>
      </c>
      <c r="C20" s="60">
        <v>37.5</v>
      </c>
      <c r="D20" s="61"/>
      <c r="E20" s="62">
        <v>3.0</v>
      </c>
      <c r="F20" s="63">
        <v>45955.0</v>
      </c>
      <c r="G20" s="61"/>
      <c r="H20" s="61"/>
      <c r="I20" s="65" t="s">
        <v>181</v>
      </c>
      <c r="J20" s="66" t="s">
        <v>64</v>
      </c>
      <c r="K20" s="65" t="s">
        <v>182</v>
      </c>
      <c r="L20" s="67" t="s">
        <v>183</v>
      </c>
      <c r="M20" s="65" t="s">
        <v>184</v>
      </c>
      <c r="N20" s="65" t="s">
        <v>185</v>
      </c>
      <c r="O20" s="66">
        <v>0.5</v>
      </c>
      <c r="P20" s="66">
        <v>0.75</v>
      </c>
      <c r="Q20" s="61"/>
      <c r="R20" s="66" t="s">
        <v>52</v>
      </c>
      <c r="S20" s="66" t="s">
        <v>281</v>
      </c>
      <c r="T20" s="61"/>
    </row>
    <row r="21">
      <c r="A21" s="57" t="s">
        <v>187</v>
      </c>
      <c r="B21" s="68" t="s">
        <v>188</v>
      </c>
      <c r="C21" s="69">
        <v>37.5</v>
      </c>
      <c r="D21" s="70"/>
      <c r="E21" s="71">
        <v>3.0</v>
      </c>
      <c r="F21" s="72">
        <v>45953.0</v>
      </c>
      <c r="G21" s="70"/>
      <c r="H21" s="70"/>
      <c r="I21" s="73" t="s">
        <v>189</v>
      </c>
      <c r="J21" s="74" t="s">
        <v>82</v>
      </c>
      <c r="K21" s="73" t="s">
        <v>190</v>
      </c>
      <c r="L21" s="75" t="s">
        <v>191</v>
      </c>
      <c r="M21" s="73" t="s">
        <v>192</v>
      </c>
      <c r="N21" s="73" t="s">
        <v>193</v>
      </c>
      <c r="O21" s="74">
        <v>0.5</v>
      </c>
      <c r="P21" s="74">
        <v>0.75</v>
      </c>
      <c r="Q21" s="70"/>
      <c r="R21" s="74" t="s">
        <v>52</v>
      </c>
      <c r="S21" s="74" t="s">
        <v>281</v>
      </c>
      <c r="T21" s="70"/>
    </row>
    <row r="22">
      <c r="A22" s="57" t="s">
        <v>105</v>
      </c>
      <c r="B22" s="73" t="s">
        <v>106</v>
      </c>
      <c r="C22" s="74">
        <v>25.0</v>
      </c>
      <c r="D22" s="70"/>
      <c r="E22" s="71">
        <v>1.0</v>
      </c>
      <c r="F22" s="78">
        <v>45965.0</v>
      </c>
      <c r="G22" s="72"/>
      <c r="H22" s="72"/>
      <c r="I22" s="73" t="s">
        <v>107</v>
      </c>
      <c r="J22" s="74" t="s">
        <v>46</v>
      </c>
      <c r="K22" s="73" t="s">
        <v>108</v>
      </c>
      <c r="L22" s="75" t="s">
        <v>109</v>
      </c>
      <c r="M22" s="73" t="s">
        <v>118</v>
      </c>
      <c r="N22" s="73" t="s">
        <v>119</v>
      </c>
      <c r="O22" s="97">
        <v>0.25</v>
      </c>
      <c r="P22" s="97">
        <v>0.75</v>
      </c>
      <c r="Q22" s="70"/>
      <c r="R22" s="74" t="s">
        <v>52</v>
      </c>
      <c r="S22" s="79" t="s">
        <v>281</v>
      </c>
      <c r="T22" s="73"/>
    </row>
    <row r="28">
      <c r="U28" s="88"/>
      <c r="V28" s="88"/>
      <c r="W28" s="88"/>
      <c r="X28" s="88"/>
      <c r="Y28" s="88"/>
      <c r="Z28" s="88"/>
      <c r="AA28" s="88"/>
    </row>
  </sheetData>
  <mergeCells count="17">
    <mergeCell ref="E2:I2"/>
    <mergeCell ref="A11:A12"/>
    <mergeCell ref="B11:B12"/>
    <mergeCell ref="C11:C12"/>
    <mergeCell ref="D11:H11"/>
    <mergeCell ref="I11:I12"/>
    <mergeCell ref="J11:J12"/>
    <mergeCell ref="R11:R12"/>
    <mergeCell ref="S11:S12"/>
    <mergeCell ref="T11:T12"/>
    <mergeCell ref="K11:K12"/>
    <mergeCell ref="L11:L12"/>
    <mergeCell ref="M11:M12"/>
    <mergeCell ref="N11:N12"/>
    <mergeCell ref="O11:O12"/>
    <mergeCell ref="P11:P12"/>
    <mergeCell ref="Q11:Q12"/>
  </mergeCells>
  <drawing r:id="rId1"/>
</worksheet>
</file>