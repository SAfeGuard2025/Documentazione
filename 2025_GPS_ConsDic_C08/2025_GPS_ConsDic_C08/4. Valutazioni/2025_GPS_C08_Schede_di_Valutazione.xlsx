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Valutazioni" sheetId="2" r:id="rId5"/>
  </sheets>
  <definedNames/>
  <calcPr/>
</workbook>
</file>

<file path=xl/sharedStrings.xml><?xml version="1.0" encoding="utf-8"?>
<sst xmlns="http://schemas.openxmlformats.org/spreadsheetml/2006/main" count="176" uniqueCount="87">
  <si>
    <t>Matricola</t>
  </si>
  <si>
    <t>Nome</t>
  </si>
  <si>
    <t>Cognome</t>
  </si>
  <si>
    <t>Alessandro</t>
  </si>
  <si>
    <t>Amendola</t>
  </si>
  <si>
    <t>Masone</t>
  </si>
  <si>
    <t>Antonello</t>
  </si>
  <si>
    <t>Castelluccio</t>
  </si>
  <si>
    <t>Francesco</t>
  </si>
  <si>
    <t>Carbone</t>
  </si>
  <si>
    <t xml:space="preserve">Francesco </t>
  </si>
  <si>
    <t>Zambrino</t>
  </si>
  <si>
    <t>Gianpaolo</t>
  </si>
  <si>
    <t>Aquilone</t>
  </si>
  <si>
    <t>Giorgio</t>
  </si>
  <si>
    <t>Zazzerini</t>
  </si>
  <si>
    <t>Giovanni</t>
  </si>
  <si>
    <t>Lamberti</t>
  </si>
  <si>
    <t>Matteo</t>
  </si>
  <si>
    <t>Manganiello</t>
  </si>
  <si>
    <t>Thomas</t>
  </si>
  <si>
    <t>Mercandino</t>
  </si>
  <si>
    <t>Victor</t>
  </si>
  <si>
    <t>Di Gennaro</t>
  </si>
  <si>
    <t>Impegno e partecipazione</t>
  </si>
  <si>
    <t>L’impegno è scarso o inesistente; il componente del team non partecipa attivamente alle attività e spesso ignora le responsabilità assegnate.</t>
  </si>
  <si>
    <t>L’impegno è minimo, con una tendenza a delegare i compiti o a contribuire solo quando è assolutamente necessario, senza iniziativa personale.</t>
  </si>
  <si>
    <t>L’impegno è sufficiente, il partecipante completa i compiti assegnati, ma non dimostra produttività o interesse a contribuire oltre il minimo richiesto.</t>
  </si>
  <si>
    <t>Il partecipante mostra un buon impegno; esegue i compiti con costanza, si dimostra disponibile e offre il proprio aiuto agli altri quando necessario.</t>
  </si>
  <si>
    <t>L’impegno è eccellente; il partecipante supera regolarmente le aspettative, prende iniziative spontanee e supporta attivamente il team per raggiungere obiettivi comuni.</t>
  </si>
  <si>
    <t>Innovazione e Problem Solving</t>
  </si>
  <si>
    <t>Non propone mai soluzioni o idee nuove si limita ad eseguire le istruzioni.</t>
  </si>
  <si>
    <t>Raramente propone soluzioni o idee e tende ad aspettare che altri risolvano problemi.</t>
  </si>
  <si>
    <t>Offre idee di tanto in tanto, ma non si assume la responsabilità di risolvere i problemi.</t>
  </si>
  <si>
    <t>Proattivo nel risolvere i problemi e propone soluzioni innovative con regolarità.</t>
  </si>
  <si>
    <t>Costantemente proattivo e creativo, risolve i problemi complessi con soluzioni innovative.</t>
  </si>
  <si>
    <t>Gestione del Tempo e Scadenze</t>
  </si>
  <si>
    <t>Non rispetta mai le scadenze e non gestisce il proprio tempo in maniera efficace.</t>
  </si>
  <si>
    <t>Rispetta le scadenze solo occasionalmente e con molto ritardo.</t>
  </si>
  <si>
    <t>Rispetta le scadenze ma spesso lavora sotto pressione o all’ultimo minuto.</t>
  </si>
  <si>
    <t>Gestisce bene il tempo e rispetta le scadenze con margine.</t>
  </si>
  <si>
    <t>Organizza in modo eccellente il proprio lavoro, consegnando sempre prima delle scadenze.</t>
  </si>
  <si>
    <t>Collaborazione e Lavoro di Squadra</t>
  </si>
  <si>
    <t>Non collabora con gli altri membri del team e preferisce lavorare da solo.</t>
  </si>
  <si>
    <t>Collabora solo quando necessario e tende a isolarsi dal resto del gruppo.</t>
  </si>
  <si>
    <t>Collabora adeguatamente con il team, ma a volte manca di iniziativa.</t>
  </si>
  <si>
    <t>Lavora bene con il team, mostrando disponibilità e spirito collaborativo.</t>
  </si>
  <si>
    <t>È un punto di riferimento per il team, sempre pronto ad aiutare e a favorire la coesione.</t>
  </si>
  <si>
    <t>Qualità del Lavoro</t>
  </si>
  <si>
    <t>Il lavoro prodotto è di scarsa qualità, con numerosi errori e mancanze.</t>
  </si>
  <si>
    <t>Il lavoro è spesso incompleto o di qualità inferiori alle aspettative.</t>
  </si>
  <si>
    <t>Il lavoro è accettabile, ma potrebbe essere migliorato in termini di accuratezza e dettaglio.</t>
  </si>
  <si>
    <t>Il lavoro è di buona qualità, con poche imperfezioni.</t>
  </si>
  <si>
    <t>Il lavoro è eccellente, preciso e di alta qualità, con un’attenzione ai dettagli notevole.</t>
  </si>
  <si>
    <t>Prima Valutazione (06/11/2025  // RAD)</t>
  </si>
  <si>
    <t>Membri\Criterio</t>
  </si>
  <si>
    <t>Qualità del lavoro</t>
  </si>
  <si>
    <t>Partecipazione</t>
  </si>
  <si>
    <t>Proattività</t>
  </si>
  <si>
    <t>Rispetto delle scadenze</t>
  </si>
  <si>
    <t>Teamwork</t>
  </si>
  <si>
    <t>Media</t>
  </si>
  <si>
    <t>Media in 30esimi</t>
  </si>
  <si>
    <t>Alessandro Amendola</t>
  </si>
  <si>
    <t>Alessandro Masone</t>
  </si>
  <si>
    <t>Antonello Castelluccio</t>
  </si>
  <si>
    <t>Francesco Carbone</t>
  </si>
  <si>
    <t>Francesco Zambrino</t>
  </si>
  <si>
    <t>Gianpaolo Aquilone</t>
  </si>
  <si>
    <t>Giorgio Zazzerini</t>
  </si>
  <si>
    <t>Giovanni Lamberti</t>
  </si>
  <si>
    <t>Matteo Manganiello</t>
  </si>
  <si>
    <t>Thomas Mercandino</t>
  </si>
  <si>
    <t>Victor Di Gennaro</t>
  </si>
  <si>
    <t>Seconda Valutazione (13/11/2025  // Mockup)</t>
  </si>
  <si>
    <t>Terza Valutazione (27/11/2025  // SDD)</t>
  </si>
  <si>
    <t>Quarta Valutazione (27/11/2025  // ODD e Implementazione)</t>
  </si>
  <si>
    <t>Quinta Valutazione (13/12/2025  // Implementazione e Testing)</t>
  </si>
  <si>
    <t>Media di Valutazione</t>
  </si>
  <si>
    <t>1a val</t>
  </si>
  <si>
    <t>2a val</t>
  </si>
  <si>
    <t>3a val</t>
  </si>
  <si>
    <t>4a val</t>
  </si>
  <si>
    <t>5a val</t>
  </si>
  <si>
    <t>Media finale</t>
  </si>
  <si>
    <t>Fattore G &amp; P</t>
  </si>
  <si>
    <t>Voto Finale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</si>
</sst>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&quot;Century Gothic&quot;"/>
    </font>
    <font>
      <color rgb="FF000000"/>
      <name val="&quot;Century Gothic&quot;"/>
    </font>
    <font>
      <sz val="11.0"/>
      <color rgb="FF000000"/>
      <name val="&quot;Century Gothic&quot;"/>
    </font>
    <font>
      <b/>
      <sz val="16.0"/>
      <color theme="1"/>
      <name val="Arial"/>
      <scheme val="minor"/>
    </font>
    <font/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2" fillId="2" fontId="5" numFmtId="0" xfId="0" applyAlignment="1" applyBorder="1" applyFont="1">
      <alignment horizontal="center" readingOrder="0" shrinkToFit="0" wrapText="1"/>
    </xf>
    <xf borderId="3" fillId="0" fontId="6" numFmtId="0" xfId="0" applyBorder="1" applyFont="1"/>
    <xf borderId="4" fillId="0" fontId="6" numFmtId="0" xfId="0" applyBorder="1" applyFont="1"/>
    <xf borderId="1" fillId="2" fontId="1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8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shrinkToFit="0" wrapText="1"/>
    </xf>
    <xf borderId="1" fillId="0" fontId="9" numFmtId="0" xfId="0" applyAlignment="1" applyBorder="1" applyFont="1">
      <alignment horizontal="center" readingOrder="0" shrinkToFit="0" wrapText="1"/>
    </xf>
    <xf borderId="0" fillId="0" fontId="8" numFmtId="0" xfId="0" applyFont="1"/>
    <xf borderId="1" fillId="5" fontId="7" numFmtId="0" xfId="0" applyAlignment="1" applyBorder="1" applyFill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 shrinkToFit="0" wrapText="1"/>
    </xf>
    <xf borderId="1" fillId="5" fontId="8" numFmtId="0" xfId="0" applyAlignment="1" applyBorder="1" applyFont="1">
      <alignment horizontal="center" shrinkToFit="0" wrapText="1"/>
    </xf>
    <xf borderId="1" fillId="5" fontId="8" numFmtId="0" xfId="0" applyAlignment="1" applyBorder="1" applyFont="1">
      <alignment shrinkToFit="0" wrapText="1"/>
    </xf>
    <xf borderId="1" fillId="5" fontId="9" numFmtId="0" xfId="0" applyAlignment="1" applyBorder="1" applyFont="1">
      <alignment horizontal="center" readingOrder="0" shrinkToFit="0" wrapText="1"/>
    </xf>
    <xf borderId="1" fillId="5" fontId="10" numFmtId="0" xfId="0" applyAlignment="1" applyBorder="1" applyFont="1">
      <alignment horizontal="center" readingOrder="0" shrinkToFit="0" wrapText="1"/>
    </xf>
    <xf borderId="1" fillId="5" fontId="11" numFmtId="0" xfId="0" applyAlignment="1" applyBorder="1" applyFont="1">
      <alignment horizontal="center" shrinkToFit="0" wrapText="1"/>
    </xf>
    <xf borderId="1" fillId="5" fontId="11" numFmtId="0" xfId="0" applyAlignment="1" applyBorder="1" applyFont="1">
      <alignment shrinkToFit="0" wrapText="1"/>
    </xf>
    <xf borderId="1" fillId="2" fontId="5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0" fillId="5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7.25"/>
    <col customWidth="1" min="3" max="3" width="33.0"/>
    <col customWidth="1" min="4" max="4" width="39.13"/>
    <col customWidth="1" min="5" max="5" width="31.38"/>
    <col customWidth="1" min="6" max="6" width="27.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 t="s">
        <v>3</v>
      </c>
      <c r="C2" s="3" t="s">
        <v>4</v>
      </c>
    </row>
    <row r="3">
      <c r="A3" s="4"/>
      <c r="B3" s="5" t="s">
        <v>3</v>
      </c>
      <c r="C3" s="5" t="s">
        <v>5</v>
      </c>
    </row>
    <row r="4">
      <c r="A4" s="2"/>
      <c r="B4" s="3" t="s">
        <v>6</v>
      </c>
      <c r="C4" s="3" t="s">
        <v>7</v>
      </c>
    </row>
    <row r="5">
      <c r="A5" s="4"/>
      <c r="B5" s="5" t="s">
        <v>8</v>
      </c>
      <c r="C5" s="5" t="s">
        <v>9</v>
      </c>
    </row>
    <row r="6">
      <c r="A6" s="2"/>
      <c r="B6" s="3" t="s">
        <v>10</v>
      </c>
      <c r="C6" s="3" t="s">
        <v>11</v>
      </c>
    </row>
    <row r="7">
      <c r="A7" s="4"/>
      <c r="B7" s="5" t="s">
        <v>12</v>
      </c>
      <c r="C7" s="5" t="s">
        <v>13</v>
      </c>
    </row>
    <row r="8">
      <c r="A8" s="2"/>
      <c r="B8" s="3" t="s">
        <v>14</v>
      </c>
      <c r="C8" s="3" t="s">
        <v>15</v>
      </c>
    </row>
    <row r="9">
      <c r="A9" s="4"/>
      <c r="B9" s="5" t="s">
        <v>16</v>
      </c>
      <c r="C9" s="5" t="s">
        <v>17</v>
      </c>
    </row>
    <row r="10">
      <c r="A10" s="2"/>
      <c r="B10" s="3" t="s">
        <v>18</v>
      </c>
      <c r="C10" s="3" t="s">
        <v>19</v>
      </c>
    </row>
    <row r="11">
      <c r="A11" s="4"/>
      <c r="B11" s="5" t="s">
        <v>20</v>
      </c>
      <c r="C11" s="5" t="s">
        <v>21</v>
      </c>
    </row>
    <row r="12">
      <c r="A12" s="2"/>
      <c r="B12" s="3" t="s">
        <v>22</v>
      </c>
      <c r="C12" s="3" t="s">
        <v>23</v>
      </c>
    </row>
    <row r="18">
      <c r="A18" s="6"/>
      <c r="B18" s="7">
        <v>1.0</v>
      </c>
      <c r="C18" s="7">
        <v>2.0</v>
      </c>
      <c r="D18" s="7">
        <v>3.0</v>
      </c>
      <c r="E18" s="7">
        <v>4.0</v>
      </c>
      <c r="F18" s="7">
        <v>5.0</v>
      </c>
    </row>
    <row r="19">
      <c r="A19" s="7" t="s">
        <v>24</v>
      </c>
      <c r="B19" s="8" t="s">
        <v>25</v>
      </c>
      <c r="C19" s="8" t="s">
        <v>26</v>
      </c>
      <c r="D19" s="9" t="s">
        <v>27</v>
      </c>
      <c r="E19" s="8" t="s">
        <v>28</v>
      </c>
      <c r="F19" s="8" t="s">
        <v>29</v>
      </c>
    </row>
    <row r="20">
      <c r="A20" s="7" t="s">
        <v>30</v>
      </c>
      <c r="B20" s="10" t="s">
        <v>31</v>
      </c>
      <c r="C20" s="10" t="s">
        <v>32</v>
      </c>
      <c r="D20" s="10" t="s">
        <v>33</v>
      </c>
      <c r="E20" s="10" t="s">
        <v>34</v>
      </c>
      <c r="F20" s="10" t="s">
        <v>35</v>
      </c>
    </row>
    <row r="21">
      <c r="A21" s="7" t="s">
        <v>36</v>
      </c>
      <c r="B21" s="8" t="s">
        <v>37</v>
      </c>
      <c r="C21" s="8" t="s">
        <v>38</v>
      </c>
      <c r="D21" s="8" t="s">
        <v>39</v>
      </c>
      <c r="E21" s="8" t="s">
        <v>40</v>
      </c>
      <c r="F21" s="8" t="s">
        <v>41</v>
      </c>
    </row>
    <row r="22">
      <c r="A22" s="7" t="s">
        <v>42</v>
      </c>
      <c r="B22" s="10" t="s">
        <v>43</v>
      </c>
      <c r="C22" s="10" t="s">
        <v>44</v>
      </c>
      <c r="D22" s="10" t="s">
        <v>45</v>
      </c>
      <c r="E22" s="10" t="s">
        <v>46</v>
      </c>
      <c r="F22" s="10" t="s">
        <v>47</v>
      </c>
    </row>
    <row r="23">
      <c r="A23" s="7" t="s">
        <v>48</v>
      </c>
      <c r="B23" s="8" t="s">
        <v>49</v>
      </c>
      <c r="C23" s="8" t="s">
        <v>50</v>
      </c>
      <c r="D23" s="8" t="s">
        <v>51</v>
      </c>
      <c r="E23" s="8" t="s">
        <v>52</v>
      </c>
      <c r="F23" s="8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25"/>
    <col customWidth="1" min="9" max="9" width="14.13"/>
  </cols>
  <sheetData>
    <row r="1">
      <c r="A1" s="11" t="s">
        <v>54</v>
      </c>
      <c r="B1" s="12"/>
      <c r="C1" s="12"/>
      <c r="D1" s="12"/>
      <c r="E1" s="12"/>
      <c r="F1" s="12"/>
      <c r="G1" s="13"/>
      <c r="H1" s="14"/>
    </row>
    <row r="2">
      <c r="A2" s="15" t="s">
        <v>55</v>
      </c>
      <c r="B2" s="15" t="s">
        <v>56</v>
      </c>
      <c r="C2" s="15" t="s">
        <v>57</v>
      </c>
      <c r="D2" s="15" t="s">
        <v>58</v>
      </c>
      <c r="E2" s="15" t="s">
        <v>59</v>
      </c>
      <c r="F2" s="15" t="s">
        <v>60</v>
      </c>
      <c r="G2" s="15" t="s">
        <v>61</v>
      </c>
      <c r="H2" s="16" t="s">
        <v>62</v>
      </c>
    </row>
    <row r="3">
      <c r="A3" s="17" t="s">
        <v>63</v>
      </c>
      <c r="B3" s="18">
        <v>4.0</v>
      </c>
      <c r="C3" s="18">
        <v>3.0</v>
      </c>
      <c r="D3" s="18">
        <v>4.0</v>
      </c>
      <c r="E3" s="18">
        <v>5.0</v>
      </c>
      <c r="F3" s="18">
        <v>4.0</v>
      </c>
      <c r="G3" s="19">
        <f t="shared" ref="G3:G13" si="1">AVERAGE(B3:F3)</f>
        <v>4</v>
      </c>
      <c r="H3" s="20">
        <f t="shared" ref="H3:H13" si="2">ROUND(DIVIDE(MULTIPLY(30,G3),5),0)</f>
        <v>24</v>
      </c>
    </row>
    <row r="4">
      <c r="A4" s="17" t="s">
        <v>64</v>
      </c>
      <c r="B4" s="18">
        <v>4.0</v>
      </c>
      <c r="C4" s="18">
        <v>4.0</v>
      </c>
      <c r="D4" s="18">
        <v>5.0</v>
      </c>
      <c r="E4" s="18">
        <v>5.0</v>
      </c>
      <c r="F4" s="18">
        <v>3.0</v>
      </c>
      <c r="G4" s="19">
        <f t="shared" si="1"/>
        <v>4.2</v>
      </c>
      <c r="H4" s="20">
        <f t="shared" si="2"/>
        <v>25</v>
      </c>
    </row>
    <row r="5">
      <c r="A5" s="21" t="s">
        <v>65</v>
      </c>
      <c r="B5" s="18">
        <v>4.0</v>
      </c>
      <c r="C5" s="18">
        <v>4.0</v>
      </c>
      <c r="D5" s="18">
        <v>4.0</v>
      </c>
      <c r="E5" s="18">
        <v>5.0</v>
      </c>
      <c r="F5" s="18">
        <v>3.0</v>
      </c>
      <c r="G5" s="19">
        <f t="shared" si="1"/>
        <v>4</v>
      </c>
      <c r="H5" s="20">
        <f t="shared" si="2"/>
        <v>24</v>
      </c>
    </row>
    <row r="6">
      <c r="A6" s="21" t="s">
        <v>66</v>
      </c>
      <c r="B6" s="18">
        <v>4.0</v>
      </c>
      <c r="C6" s="18">
        <v>3.0</v>
      </c>
      <c r="D6" s="18">
        <v>4.0</v>
      </c>
      <c r="E6" s="18">
        <v>5.0</v>
      </c>
      <c r="F6" s="18">
        <v>3.0</v>
      </c>
      <c r="G6" s="19">
        <f t="shared" si="1"/>
        <v>3.8</v>
      </c>
      <c r="H6" s="20">
        <f t="shared" si="2"/>
        <v>23</v>
      </c>
    </row>
    <row r="7">
      <c r="A7" s="21" t="s">
        <v>67</v>
      </c>
      <c r="B7" s="18">
        <v>4.0</v>
      </c>
      <c r="C7" s="18">
        <v>3.0</v>
      </c>
      <c r="D7" s="18">
        <v>4.0</v>
      </c>
      <c r="E7" s="18">
        <v>5.0</v>
      </c>
      <c r="F7" s="18">
        <v>3.0</v>
      </c>
      <c r="G7" s="19">
        <f t="shared" si="1"/>
        <v>3.8</v>
      </c>
      <c r="H7" s="20">
        <f t="shared" si="2"/>
        <v>23</v>
      </c>
      <c r="I7" s="22"/>
    </row>
    <row r="8">
      <c r="A8" s="21" t="s">
        <v>68</v>
      </c>
      <c r="B8" s="18">
        <v>4.0</v>
      </c>
      <c r="C8" s="18">
        <v>4.0</v>
      </c>
      <c r="D8" s="18">
        <v>5.0</v>
      </c>
      <c r="E8" s="18">
        <v>5.0</v>
      </c>
      <c r="F8" s="18">
        <v>4.0</v>
      </c>
      <c r="G8" s="19">
        <f t="shared" si="1"/>
        <v>4.4</v>
      </c>
      <c r="H8" s="20">
        <f t="shared" si="2"/>
        <v>26</v>
      </c>
    </row>
    <row r="9">
      <c r="A9" s="21" t="s">
        <v>69</v>
      </c>
      <c r="B9" s="18">
        <v>4.0</v>
      </c>
      <c r="C9" s="18">
        <v>3.0</v>
      </c>
      <c r="D9" s="18">
        <v>4.0</v>
      </c>
      <c r="E9" s="18">
        <v>5.0</v>
      </c>
      <c r="F9" s="18">
        <v>3.0</v>
      </c>
      <c r="G9" s="19">
        <f t="shared" si="1"/>
        <v>3.8</v>
      </c>
      <c r="H9" s="20">
        <f t="shared" si="2"/>
        <v>23</v>
      </c>
    </row>
    <row r="10">
      <c r="A10" s="21" t="s">
        <v>70</v>
      </c>
      <c r="B10" s="18">
        <v>4.0</v>
      </c>
      <c r="C10" s="18">
        <v>4.0</v>
      </c>
      <c r="D10" s="18">
        <v>5.0</v>
      </c>
      <c r="E10" s="18">
        <v>5.0</v>
      </c>
      <c r="F10" s="18">
        <v>4.0</v>
      </c>
      <c r="G10" s="19">
        <f t="shared" si="1"/>
        <v>4.4</v>
      </c>
      <c r="H10" s="20">
        <f t="shared" si="2"/>
        <v>26</v>
      </c>
    </row>
    <row r="11">
      <c r="A11" s="21" t="s">
        <v>71</v>
      </c>
      <c r="B11" s="18">
        <v>4.0</v>
      </c>
      <c r="C11" s="18">
        <v>3.0</v>
      </c>
      <c r="D11" s="18">
        <v>4.0</v>
      </c>
      <c r="E11" s="18">
        <v>5.0</v>
      </c>
      <c r="F11" s="18">
        <v>3.0</v>
      </c>
      <c r="G11" s="19">
        <f t="shared" si="1"/>
        <v>3.8</v>
      </c>
      <c r="H11" s="20">
        <f t="shared" si="2"/>
        <v>23</v>
      </c>
    </row>
    <row r="12">
      <c r="A12" s="21" t="s">
        <v>72</v>
      </c>
      <c r="B12" s="18">
        <v>4.0</v>
      </c>
      <c r="C12" s="18">
        <v>3.0</v>
      </c>
      <c r="D12" s="18">
        <v>4.0</v>
      </c>
      <c r="E12" s="18">
        <v>5.0</v>
      </c>
      <c r="F12" s="18">
        <v>3.0</v>
      </c>
      <c r="G12" s="19">
        <f t="shared" si="1"/>
        <v>3.8</v>
      </c>
      <c r="H12" s="20">
        <f t="shared" si="2"/>
        <v>23</v>
      </c>
    </row>
    <row r="13">
      <c r="A13" s="21" t="s">
        <v>73</v>
      </c>
      <c r="B13" s="18">
        <v>4.0</v>
      </c>
      <c r="C13" s="18">
        <v>4.0</v>
      </c>
      <c r="D13" s="18">
        <v>5.0</v>
      </c>
      <c r="E13" s="18">
        <v>5.0</v>
      </c>
      <c r="F13" s="18">
        <v>4.0</v>
      </c>
      <c r="G13" s="19">
        <f t="shared" si="1"/>
        <v>4.4</v>
      </c>
      <c r="H13" s="20">
        <f t="shared" si="2"/>
        <v>26</v>
      </c>
    </row>
    <row r="16">
      <c r="A16" s="11" t="s">
        <v>74</v>
      </c>
      <c r="B16" s="12"/>
      <c r="C16" s="12"/>
      <c r="D16" s="12"/>
      <c r="E16" s="12"/>
      <c r="F16" s="12"/>
      <c r="G16" s="13"/>
      <c r="H16" s="14"/>
    </row>
    <row r="17">
      <c r="A17" s="15" t="s">
        <v>55</v>
      </c>
      <c r="B17" s="15" t="s">
        <v>56</v>
      </c>
      <c r="C17" s="15" t="s">
        <v>57</v>
      </c>
      <c r="D17" s="15" t="s">
        <v>58</v>
      </c>
      <c r="E17" s="15" t="s">
        <v>59</v>
      </c>
      <c r="F17" s="15" t="s">
        <v>60</v>
      </c>
      <c r="G17" s="15" t="s">
        <v>61</v>
      </c>
      <c r="H17" s="16" t="s">
        <v>62</v>
      </c>
    </row>
    <row r="18">
      <c r="A18" s="17" t="s">
        <v>63</v>
      </c>
      <c r="B18" s="18">
        <v>5.0</v>
      </c>
      <c r="C18" s="18">
        <v>4.0</v>
      </c>
      <c r="D18" s="18">
        <v>5.0</v>
      </c>
      <c r="E18" s="18">
        <v>5.0</v>
      </c>
      <c r="F18" s="18">
        <v>4.0</v>
      </c>
      <c r="G18" s="19">
        <f t="shared" ref="G18:G28" si="3">AVERAGE(B18:F18)</f>
        <v>4.6</v>
      </c>
      <c r="H18" s="20">
        <f t="shared" ref="H18:H28" si="4">ROUND(DIVIDE(MULTIPLY(30,G18),5),0)</f>
        <v>28</v>
      </c>
    </row>
    <row r="19">
      <c r="A19" s="17" t="s">
        <v>64</v>
      </c>
      <c r="B19" s="18">
        <v>5.0</v>
      </c>
      <c r="C19" s="18">
        <v>4.0</v>
      </c>
      <c r="D19" s="18">
        <v>4.0</v>
      </c>
      <c r="E19" s="18">
        <v>5.0</v>
      </c>
      <c r="F19" s="18">
        <v>3.0</v>
      </c>
      <c r="G19" s="19">
        <f t="shared" si="3"/>
        <v>4.2</v>
      </c>
      <c r="H19" s="20">
        <f t="shared" si="4"/>
        <v>25</v>
      </c>
    </row>
    <row r="20">
      <c r="A20" s="21" t="s">
        <v>65</v>
      </c>
      <c r="B20" s="18">
        <v>5.0</v>
      </c>
      <c r="C20" s="18">
        <v>4.0</v>
      </c>
      <c r="D20" s="18">
        <v>4.0</v>
      </c>
      <c r="E20" s="18">
        <v>5.0</v>
      </c>
      <c r="F20" s="18">
        <v>3.0</v>
      </c>
      <c r="G20" s="19">
        <f t="shared" si="3"/>
        <v>4.2</v>
      </c>
      <c r="H20" s="20">
        <f t="shared" si="4"/>
        <v>25</v>
      </c>
    </row>
    <row r="21">
      <c r="A21" s="21" t="s">
        <v>66</v>
      </c>
      <c r="B21" s="18">
        <v>5.0</v>
      </c>
      <c r="C21" s="18">
        <v>4.0</v>
      </c>
      <c r="D21" s="18">
        <v>4.0</v>
      </c>
      <c r="E21" s="18">
        <v>5.0</v>
      </c>
      <c r="F21" s="18">
        <v>3.0</v>
      </c>
      <c r="G21" s="19">
        <f t="shared" si="3"/>
        <v>4.2</v>
      </c>
      <c r="H21" s="20">
        <f t="shared" si="4"/>
        <v>25</v>
      </c>
    </row>
    <row r="22">
      <c r="A22" s="21" t="s">
        <v>67</v>
      </c>
      <c r="B22" s="18">
        <v>5.0</v>
      </c>
      <c r="C22" s="18">
        <v>4.0</v>
      </c>
      <c r="D22" s="18">
        <v>5.0</v>
      </c>
      <c r="E22" s="18">
        <v>5.0</v>
      </c>
      <c r="F22" s="18">
        <v>4.0</v>
      </c>
      <c r="G22" s="19">
        <f t="shared" si="3"/>
        <v>4.6</v>
      </c>
      <c r="H22" s="20">
        <f t="shared" si="4"/>
        <v>28</v>
      </c>
    </row>
    <row r="23">
      <c r="A23" s="21" t="s">
        <v>68</v>
      </c>
      <c r="B23" s="18">
        <v>5.0</v>
      </c>
      <c r="C23" s="18">
        <v>4.0</v>
      </c>
      <c r="D23" s="18">
        <v>5.0</v>
      </c>
      <c r="E23" s="18">
        <v>5.0</v>
      </c>
      <c r="F23" s="18">
        <v>4.0</v>
      </c>
      <c r="G23" s="19">
        <f t="shared" si="3"/>
        <v>4.6</v>
      </c>
      <c r="H23" s="20">
        <f t="shared" si="4"/>
        <v>28</v>
      </c>
    </row>
    <row r="24">
      <c r="A24" s="21" t="s">
        <v>69</v>
      </c>
      <c r="B24" s="18">
        <v>5.0</v>
      </c>
      <c r="C24" s="18">
        <v>4.0</v>
      </c>
      <c r="D24" s="18">
        <v>4.0</v>
      </c>
      <c r="E24" s="18">
        <v>5.0</v>
      </c>
      <c r="F24" s="18">
        <v>3.0</v>
      </c>
      <c r="G24" s="19">
        <f t="shared" si="3"/>
        <v>4.2</v>
      </c>
      <c r="H24" s="20">
        <f t="shared" si="4"/>
        <v>25</v>
      </c>
    </row>
    <row r="25">
      <c r="A25" s="21" t="s">
        <v>70</v>
      </c>
      <c r="B25" s="18">
        <v>5.0</v>
      </c>
      <c r="C25" s="18">
        <v>4.0</v>
      </c>
      <c r="D25" s="18">
        <v>5.0</v>
      </c>
      <c r="E25" s="18">
        <v>5.0</v>
      </c>
      <c r="F25" s="18">
        <v>4.0</v>
      </c>
      <c r="G25" s="19">
        <f t="shared" si="3"/>
        <v>4.6</v>
      </c>
      <c r="H25" s="20">
        <f t="shared" si="4"/>
        <v>28</v>
      </c>
    </row>
    <row r="26">
      <c r="A26" s="21" t="s">
        <v>71</v>
      </c>
      <c r="B26" s="18">
        <v>5.0</v>
      </c>
      <c r="C26" s="18">
        <v>4.0</v>
      </c>
      <c r="D26" s="18">
        <v>4.0</v>
      </c>
      <c r="E26" s="18">
        <v>5.0</v>
      </c>
      <c r="F26" s="18">
        <v>3.0</v>
      </c>
      <c r="G26" s="19">
        <f t="shared" si="3"/>
        <v>4.2</v>
      </c>
      <c r="H26" s="20">
        <f t="shared" si="4"/>
        <v>25</v>
      </c>
    </row>
    <row r="27">
      <c r="A27" s="21" t="s">
        <v>72</v>
      </c>
      <c r="B27" s="18">
        <v>5.0</v>
      </c>
      <c r="C27" s="18">
        <v>4.0</v>
      </c>
      <c r="D27" s="18">
        <v>4.0</v>
      </c>
      <c r="E27" s="18">
        <v>5.0</v>
      </c>
      <c r="F27" s="18">
        <v>3.0</v>
      </c>
      <c r="G27" s="19">
        <f t="shared" si="3"/>
        <v>4.2</v>
      </c>
      <c r="H27" s="20">
        <f t="shared" si="4"/>
        <v>25</v>
      </c>
    </row>
    <row r="28">
      <c r="A28" s="21" t="s">
        <v>73</v>
      </c>
      <c r="B28" s="18">
        <v>5.0</v>
      </c>
      <c r="C28" s="18">
        <v>4.0</v>
      </c>
      <c r="D28" s="18">
        <v>5.0</v>
      </c>
      <c r="E28" s="18">
        <v>5.0</v>
      </c>
      <c r="F28" s="18">
        <v>4.0</v>
      </c>
      <c r="G28" s="19">
        <f t="shared" si="3"/>
        <v>4.6</v>
      </c>
      <c r="H28" s="20">
        <f t="shared" si="4"/>
        <v>28</v>
      </c>
    </row>
    <row r="31">
      <c r="A31" s="11" t="s">
        <v>75</v>
      </c>
      <c r="B31" s="12"/>
      <c r="C31" s="12"/>
      <c r="D31" s="12"/>
      <c r="E31" s="12"/>
      <c r="F31" s="12"/>
      <c r="G31" s="13"/>
      <c r="H31" s="14"/>
    </row>
    <row r="32">
      <c r="A32" s="15" t="s">
        <v>55</v>
      </c>
      <c r="B32" s="15" t="s">
        <v>56</v>
      </c>
      <c r="C32" s="15" t="s">
        <v>57</v>
      </c>
      <c r="D32" s="15" t="s">
        <v>58</v>
      </c>
      <c r="E32" s="15" t="s">
        <v>59</v>
      </c>
      <c r="F32" s="15" t="s">
        <v>60</v>
      </c>
      <c r="G32" s="15" t="s">
        <v>61</v>
      </c>
      <c r="H32" s="16" t="s">
        <v>62</v>
      </c>
    </row>
    <row r="33">
      <c r="A33" s="17" t="s">
        <v>63</v>
      </c>
      <c r="B33" s="18">
        <v>4.0</v>
      </c>
      <c r="C33" s="18">
        <v>4.0</v>
      </c>
      <c r="D33" s="18">
        <v>4.0</v>
      </c>
      <c r="E33" s="18">
        <v>4.0</v>
      </c>
      <c r="F33" s="18">
        <v>4.0</v>
      </c>
      <c r="G33" s="19">
        <f t="shared" ref="G33:G43" si="5">AVERAGE(B33:F33)</f>
        <v>4</v>
      </c>
      <c r="H33" s="20">
        <f t="shared" ref="H33:H43" si="6">ROUND(DIVIDE(MULTIPLY(30,G33),5),0)</f>
        <v>24</v>
      </c>
    </row>
    <row r="34">
      <c r="A34" s="17" t="s">
        <v>64</v>
      </c>
      <c r="B34" s="18">
        <v>4.0</v>
      </c>
      <c r="C34" s="18">
        <v>5.0</v>
      </c>
      <c r="D34" s="18">
        <v>5.0</v>
      </c>
      <c r="E34" s="18">
        <v>4.0</v>
      </c>
      <c r="F34" s="18">
        <v>3.0</v>
      </c>
      <c r="G34" s="19">
        <f t="shared" si="5"/>
        <v>4.2</v>
      </c>
      <c r="H34" s="20">
        <f t="shared" si="6"/>
        <v>25</v>
      </c>
    </row>
    <row r="35">
      <c r="A35" s="21" t="s">
        <v>65</v>
      </c>
      <c r="B35" s="18">
        <v>4.0</v>
      </c>
      <c r="C35" s="18">
        <v>3.0</v>
      </c>
      <c r="D35" s="18">
        <v>3.0</v>
      </c>
      <c r="E35" s="18">
        <v>4.0</v>
      </c>
      <c r="F35" s="18">
        <v>3.0</v>
      </c>
      <c r="G35" s="19">
        <f t="shared" si="5"/>
        <v>3.4</v>
      </c>
      <c r="H35" s="20">
        <f t="shared" si="6"/>
        <v>20</v>
      </c>
    </row>
    <row r="36">
      <c r="A36" s="21" t="s">
        <v>66</v>
      </c>
      <c r="B36" s="18">
        <v>4.0</v>
      </c>
      <c r="C36" s="18">
        <v>3.0</v>
      </c>
      <c r="D36" s="18">
        <v>3.0</v>
      </c>
      <c r="E36" s="18">
        <v>4.0</v>
      </c>
      <c r="F36" s="18">
        <v>4.0</v>
      </c>
      <c r="G36" s="19">
        <f t="shared" si="5"/>
        <v>3.6</v>
      </c>
      <c r="H36" s="20">
        <f t="shared" si="6"/>
        <v>22</v>
      </c>
    </row>
    <row r="37">
      <c r="A37" s="21" t="s">
        <v>67</v>
      </c>
      <c r="B37" s="18">
        <v>4.0</v>
      </c>
      <c r="C37" s="18">
        <v>3.0</v>
      </c>
      <c r="D37" s="18">
        <v>3.0</v>
      </c>
      <c r="E37" s="18">
        <v>4.0</v>
      </c>
      <c r="F37" s="18">
        <v>3.0</v>
      </c>
      <c r="G37" s="19">
        <f t="shared" si="5"/>
        <v>3.4</v>
      </c>
      <c r="H37" s="20">
        <f t="shared" si="6"/>
        <v>20</v>
      </c>
    </row>
    <row r="38">
      <c r="A38" s="21" t="s">
        <v>68</v>
      </c>
      <c r="B38" s="18">
        <v>4.0</v>
      </c>
      <c r="C38" s="18">
        <v>5.0</v>
      </c>
      <c r="D38" s="18">
        <v>5.0</v>
      </c>
      <c r="E38" s="18">
        <v>4.0</v>
      </c>
      <c r="F38" s="18">
        <v>3.0</v>
      </c>
      <c r="G38" s="19">
        <f t="shared" si="5"/>
        <v>4.2</v>
      </c>
      <c r="H38" s="20">
        <f t="shared" si="6"/>
        <v>25</v>
      </c>
    </row>
    <row r="39">
      <c r="A39" s="21" t="s">
        <v>69</v>
      </c>
      <c r="B39" s="18">
        <v>4.0</v>
      </c>
      <c r="C39" s="18">
        <v>2.0</v>
      </c>
      <c r="D39" s="18">
        <v>3.0</v>
      </c>
      <c r="E39" s="18">
        <v>4.0</v>
      </c>
      <c r="F39" s="18">
        <v>4.0</v>
      </c>
      <c r="G39" s="19">
        <f t="shared" si="5"/>
        <v>3.4</v>
      </c>
      <c r="H39" s="20">
        <f t="shared" si="6"/>
        <v>20</v>
      </c>
    </row>
    <row r="40">
      <c r="A40" s="21" t="s">
        <v>70</v>
      </c>
      <c r="B40" s="18">
        <v>4.0</v>
      </c>
      <c r="C40" s="18">
        <v>5.0</v>
      </c>
      <c r="D40" s="18">
        <v>5.0</v>
      </c>
      <c r="E40" s="18">
        <v>4.0</v>
      </c>
      <c r="F40" s="18">
        <v>5.0</v>
      </c>
      <c r="G40" s="19">
        <f t="shared" si="5"/>
        <v>4.6</v>
      </c>
      <c r="H40" s="20">
        <f t="shared" si="6"/>
        <v>28</v>
      </c>
    </row>
    <row r="41">
      <c r="A41" s="21" t="s">
        <v>71</v>
      </c>
      <c r="B41" s="18">
        <v>4.0</v>
      </c>
      <c r="C41" s="18">
        <v>3.0</v>
      </c>
      <c r="D41" s="18">
        <v>4.0</v>
      </c>
      <c r="E41" s="18">
        <v>4.0</v>
      </c>
      <c r="F41" s="18">
        <v>3.0</v>
      </c>
      <c r="G41" s="19">
        <f t="shared" si="5"/>
        <v>3.6</v>
      </c>
      <c r="H41" s="20">
        <f t="shared" si="6"/>
        <v>22</v>
      </c>
    </row>
    <row r="42">
      <c r="A42" s="21" t="s">
        <v>72</v>
      </c>
      <c r="B42" s="18">
        <v>4.0</v>
      </c>
      <c r="C42" s="18">
        <v>2.0</v>
      </c>
      <c r="D42" s="18">
        <v>3.0</v>
      </c>
      <c r="E42" s="18">
        <v>4.0</v>
      </c>
      <c r="F42" s="18">
        <v>4.0</v>
      </c>
      <c r="G42" s="19">
        <f t="shared" si="5"/>
        <v>3.4</v>
      </c>
      <c r="H42" s="20">
        <f t="shared" si="6"/>
        <v>20</v>
      </c>
    </row>
    <row r="43">
      <c r="A43" s="21" t="s">
        <v>73</v>
      </c>
      <c r="B43" s="18">
        <v>4.0</v>
      </c>
      <c r="C43" s="18">
        <v>5.0</v>
      </c>
      <c r="D43" s="18">
        <v>5.0</v>
      </c>
      <c r="E43" s="18">
        <v>4.0</v>
      </c>
      <c r="F43" s="18">
        <v>4.0</v>
      </c>
      <c r="G43" s="19">
        <f t="shared" si="5"/>
        <v>4.4</v>
      </c>
      <c r="H43" s="20">
        <f t="shared" si="6"/>
        <v>26</v>
      </c>
    </row>
    <row r="46">
      <c r="A46" s="11" t="s">
        <v>76</v>
      </c>
      <c r="B46" s="12"/>
      <c r="C46" s="12"/>
      <c r="D46" s="12"/>
      <c r="E46" s="12"/>
      <c r="F46" s="12"/>
      <c r="G46" s="13"/>
      <c r="H46" s="14"/>
    </row>
    <row r="47">
      <c r="A47" s="15" t="s">
        <v>55</v>
      </c>
      <c r="B47" s="15" t="s">
        <v>56</v>
      </c>
      <c r="C47" s="15" t="s">
        <v>57</v>
      </c>
      <c r="D47" s="15" t="s">
        <v>58</v>
      </c>
      <c r="E47" s="15" t="s">
        <v>59</v>
      </c>
      <c r="F47" s="15" t="s">
        <v>60</v>
      </c>
      <c r="G47" s="15" t="s">
        <v>61</v>
      </c>
      <c r="H47" s="16" t="s">
        <v>62</v>
      </c>
    </row>
    <row r="48">
      <c r="A48" s="17" t="s">
        <v>63</v>
      </c>
      <c r="B48" s="18">
        <v>4.0</v>
      </c>
      <c r="C48" s="18">
        <v>5.0</v>
      </c>
      <c r="D48" s="18">
        <v>5.0</v>
      </c>
      <c r="E48" s="18">
        <v>3.0</v>
      </c>
      <c r="F48" s="18">
        <v>4.0</v>
      </c>
      <c r="G48" s="19">
        <f t="shared" ref="G48:G58" si="7">AVERAGE(B48:F48)</f>
        <v>4.2</v>
      </c>
      <c r="H48" s="20">
        <f t="shared" ref="H48:H58" si="8">ROUND(DIVIDE(MULTIPLY(30,G48),5),0)</f>
        <v>25</v>
      </c>
    </row>
    <row r="49">
      <c r="A49" s="17" t="s">
        <v>64</v>
      </c>
      <c r="B49" s="18">
        <v>4.0</v>
      </c>
      <c r="C49" s="18">
        <v>5.0</v>
      </c>
      <c r="D49" s="18">
        <v>5.0</v>
      </c>
      <c r="E49" s="18">
        <v>3.0</v>
      </c>
      <c r="F49" s="18">
        <v>5.0</v>
      </c>
      <c r="G49" s="19">
        <f t="shared" si="7"/>
        <v>4.4</v>
      </c>
      <c r="H49" s="20">
        <f t="shared" si="8"/>
        <v>26</v>
      </c>
    </row>
    <row r="50">
      <c r="A50" s="21" t="s">
        <v>65</v>
      </c>
      <c r="B50" s="18">
        <v>3.0</v>
      </c>
      <c r="C50" s="18">
        <v>5.0</v>
      </c>
      <c r="D50" s="18">
        <v>5.0</v>
      </c>
      <c r="E50" s="18">
        <v>2.0</v>
      </c>
      <c r="F50" s="18">
        <v>4.0</v>
      </c>
      <c r="G50" s="19">
        <f t="shared" si="7"/>
        <v>3.8</v>
      </c>
      <c r="H50" s="20">
        <f t="shared" si="8"/>
        <v>23</v>
      </c>
    </row>
    <row r="51">
      <c r="A51" s="21" t="s">
        <v>66</v>
      </c>
      <c r="B51" s="18">
        <v>5.0</v>
      </c>
      <c r="C51" s="18">
        <v>5.0</v>
      </c>
      <c r="D51" s="18">
        <v>5.0</v>
      </c>
      <c r="E51" s="18">
        <v>4.0</v>
      </c>
      <c r="F51" s="18">
        <v>5.0</v>
      </c>
      <c r="G51" s="19">
        <f t="shared" si="7"/>
        <v>4.8</v>
      </c>
      <c r="H51" s="20">
        <f t="shared" si="8"/>
        <v>29</v>
      </c>
    </row>
    <row r="52">
      <c r="A52" s="21" t="s">
        <v>67</v>
      </c>
      <c r="B52" s="18">
        <v>3.0</v>
      </c>
      <c r="C52" s="18">
        <v>5.0</v>
      </c>
      <c r="D52" s="18">
        <v>5.0</v>
      </c>
      <c r="E52" s="18">
        <v>2.0</v>
      </c>
      <c r="F52" s="18">
        <v>4.0</v>
      </c>
      <c r="G52" s="19">
        <f t="shared" si="7"/>
        <v>3.8</v>
      </c>
      <c r="H52" s="20">
        <f t="shared" si="8"/>
        <v>23</v>
      </c>
    </row>
    <row r="53">
      <c r="A53" s="21" t="s">
        <v>68</v>
      </c>
      <c r="B53" s="18">
        <v>3.0</v>
      </c>
      <c r="C53" s="18">
        <v>5.0</v>
      </c>
      <c r="D53" s="18">
        <v>5.0</v>
      </c>
      <c r="E53" s="18">
        <v>2.0</v>
      </c>
      <c r="F53" s="18">
        <v>4.0</v>
      </c>
      <c r="G53" s="19">
        <f t="shared" si="7"/>
        <v>3.8</v>
      </c>
      <c r="H53" s="20">
        <f t="shared" si="8"/>
        <v>23</v>
      </c>
    </row>
    <row r="54">
      <c r="A54" s="21" t="s">
        <v>69</v>
      </c>
      <c r="B54" s="18">
        <v>4.0</v>
      </c>
      <c r="C54" s="18">
        <v>5.0</v>
      </c>
      <c r="D54" s="18">
        <v>5.0</v>
      </c>
      <c r="E54" s="18">
        <v>3.0</v>
      </c>
      <c r="F54" s="18">
        <v>4.0</v>
      </c>
      <c r="G54" s="19">
        <f t="shared" si="7"/>
        <v>4.2</v>
      </c>
      <c r="H54" s="20">
        <f t="shared" si="8"/>
        <v>25</v>
      </c>
    </row>
    <row r="55">
      <c r="A55" s="21" t="s">
        <v>70</v>
      </c>
      <c r="B55" s="18">
        <v>4.0</v>
      </c>
      <c r="C55" s="18">
        <v>5.0</v>
      </c>
      <c r="D55" s="18">
        <v>5.0</v>
      </c>
      <c r="E55" s="18">
        <v>4.0</v>
      </c>
      <c r="F55" s="18">
        <v>4.0</v>
      </c>
      <c r="G55" s="19">
        <f t="shared" si="7"/>
        <v>4.4</v>
      </c>
      <c r="H55" s="20">
        <f t="shared" si="8"/>
        <v>26</v>
      </c>
    </row>
    <row r="56">
      <c r="A56" s="21" t="s">
        <v>71</v>
      </c>
      <c r="B56" s="18">
        <v>4.0</v>
      </c>
      <c r="C56" s="18">
        <v>5.0</v>
      </c>
      <c r="D56" s="18">
        <v>5.0</v>
      </c>
      <c r="E56" s="18">
        <v>3.0</v>
      </c>
      <c r="F56" s="18">
        <v>5.0</v>
      </c>
      <c r="G56" s="19">
        <f t="shared" si="7"/>
        <v>4.4</v>
      </c>
      <c r="H56" s="20">
        <f t="shared" si="8"/>
        <v>26</v>
      </c>
    </row>
    <row r="57">
      <c r="A57" s="21" t="s">
        <v>72</v>
      </c>
      <c r="B57" s="18">
        <v>3.0</v>
      </c>
      <c r="C57" s="18">
        <v>4.0</v>
      </c>
      <c r="D57" s="18">
        <v>4.0</v>
      </c>
      <c r="E57" s="18">
        <v>2.0</v>
      </c>
      <c r="F57" s="18">
        <v>3.0</v>
      </c>
      <c r="G57" s="19">
        <f t="shared" si="7"/>
        <v>3.2</v>
      </c>
      <c r="H57" s="20">
        <f t="shared" si="8"/>
        <v>19</v>
      </c>
    </row>
    <row r="58">
      <c r="A58" s="21" t="s">
        <v>73</v>
      </c>
      <c r="B58" s="18">
        <v>3.0</v>
      </c>
      <c r="C58" s="18">
        <v>5.0</v>
      </c>
      <c r="D58" s="18">
        <v>5.0</v>
      </c>
      <c r="E58" s="18">
        <v>2.0</v>
      </c>
      <c r="F58" s="18">
        <v>5.0</v>
      </c>
      <c r="G58" s="19">
        <f t="shared" si="7"/>
        <v>4</v>
      </c>
      <c r="H58" s="20">
        <f t="shared" si="8"/>
        <v>24</v>
      </c>
    </row>
    <row r="61">
      <c r="A61" s="11" t="s">
        <v>77</v>
      </c>
      <c r="B61" s="12"/>
      <c r="C61" s="12"/>
      <c r="D61" s="12"/>
      <c r="E61" s="12"/>
      <c r="F61" s="12"/>
      <c r="G61" s="13"/>
      <c r="H61" s="14"/>
    </row>
    <row r="62">
      <c r="A62" s="15" t="s">
        <v>55</v>
      </c>
      <c r="B62" s="15" t="s">
        <v>56</v>
      </c>
      <c r="C62" s="15" t="s">
        <v>57</v>
      </c>
      <c r="D62" s="15" t="s">
        <v>58</v>
      </c>
      <c r="E62" s="15" t="s">
        <v>59</v>
      </c>
      <c r="F62" s="15" t="s">
        <v>60</v>
      </c>
      <c r="G62" s="15" t="s">
        <v>61</v>
      </c>
      <c r="H62" s="16" t="s">
        <v>62</v>
      </c>
    </row>
    <row r="63">
      <c r="A63" s="23" t="s">
        <v>63</v>
      </c>
      <c r="B63" s="24">
        <v>5.0</v>
      </c>
      <c r="C63" s="24">
        <v>5.0</v>
      </c>
      <c r="D63" s="24">
        <v>4.0</v>
      </c>
      <c r="E63" s="24">
        <v>4.0</v>
      </c>
      <c r="F63" s="24">
        <v>5.0</v>
      </c>
      <c r="G63" s="25">
        <f t="shared" ref="G63:G73" si="9">AVERAGE(B63:F63)</f>
        <v>4.6</v>
      </c>
      <c r="H63" s="26">
        <f t="shared" ref="H63:H73" si="10">ROUND(DIVIDE(MULTIPLY(30,G63),5),0)</f>
        <v>28</v>
      </c>
    </row>
    <row r="64">
      <c r="A64" s="23" t="s">
        <v>64</v>
      </c>
      <c r="B64" s="24">
        <v>5.0</v>
      </c>
      <c r="C64" s="24">
        <v>5.0</v>
      </c>
      <c r="D64" s="24">
        <v>5.0</v>
      </c>
      <c r="E64" s="24">
        <v>5.0</v>
      </c>
      <c r="F64" s="24">
        <v>5.0</v>
      </c>
      <c r="G64" s="25">
        <f t="shared" si="9"/>
        <v>5</v>
      </c>
      <c r="H64" s="26">
        <f t="shared" si="10"/>
        <v>30</v>
      </c>
    </row>
    <row r="65">
      <c r="A65" s="27" t="s">
        <v>65</v>
      </c>
      <c r="B65" s="24">
        <v>5.0</v>
      </c>
      <c r="C65" s="24">
        <v>5.0</v>
      </c>
      <c r="D65" s="24">
        <v>5.0</v>
      </c>
      <c r="E65" s="24">
        <v>4.0</v>
      </c>
      <c r="F65" s="24">
        <v>5.0</v>
      </c>
      <c r="G65" s="25">
        <f t="shared" si="9"/>
        <v>4.8</v>
      </c>
      <c r="H65" s="26">
        <f t="shared" si="10"/>
        <v>29</v>
      </c>
    </row>
    <row r="66">
      <c r="A66" s="27" t="s">
        <v>66</v>
      </c>
      <c r="B66" s="24">
        <v>5.0</v>
      </c>
      <c r="C66" s="24">
        <v>5.0</v>
      </c>
      <c r="D66" s="24">
        <v>5.0</v>
      </c>
      <c r="E66" s="24">
        <v>4.0</v>
      </c>
      <c r="F66" s="24">
        <v>5.0</v>
      </c>
      <c r="G66" s="25">
        <f t="shared" si="9"/>
        <v>4.8</v>
      </c>
      <c r="H66" s="26">
        <f t="shared" si="10"/>
        <v>29</v>
      </c>
    </row>
    <row r="67">
      <c r="A67" s="27" t="s">
        <v>67</v>
      </c>
      <c r="B67" s="24">
        <v>5.0</v>
      </c>
      <c r="C67" s="24">
        <v>5.0</v>
      </c>
      <c r="D67" s="24">
        <v>5.0</v>
      </c>
      <c r="E67" s="24">
        <v>4.0</v>
      </c>
      <c r="F67" s="24">
        <v>4.0</v>
      </c>
      <c r="G67" s="25">
        <f t="shared" si="9"/>
        <v>4.6</v>
      </c>
      <c r="H67" s="26">
        <f t="shared" si="10"/>
        <v>28</v>
      </c>
    </row>
    <row r="68">
      <c r="A68" s="27" t="s">
        <v>68</v>
      </c>
      <c r="B68" s="24">
        <v>4.0</v>
      </c>
      <c r="C68" s="24">
        <v>4.0</v>
      </c>
      <c r="D68" s="24">
        <v>5.0</v>
      </c>
      <c r="E68" s="24">
        <v>4.0</v>
      </c>
      <c r="F68" s="24">
        <v>4.0</v>
      </c>
      <c r="G68" s="25">
        <f t="shared" si="9"/>
        <v>4.2</v>
      </c>
      <c r="H68" s="26">
        <f t="shared" si="10"/>
        <v>25</v>
      </c>
    </row>
    <row r="69">
      <c r="A69" s="27" t="s">
        <v>69</v>
      </c>
      <c r="B69" s="24">
        <v>4.0</v>
      </c>
      <c r="C69" s="24">
        <v>4.0</v>
      </c>
      <c r="D69" s="24">
        <v>4.0</v>
      </c>
      <c r="E69" s="24">
        <v>4.0</v>
      </c>
      <c r="F69" s="24">
        <v>5.0</v>
      </c>
      <c r="G69" s="25">
        <f t="shared" si="9"/>
        <v>4.2</v>
      </c>
      <c r="H69" s="26">
        <f t="shared" si="10"/>
        <v>25</v>
      </c>
    </row>
    <row r="70">
      <c r="A70" s="27" t="s">
        <v>70</v>
      </c>
      <c r="B70" s="24">
        <v>5.0</v>
      </c>
      <c r="C70" s="24">
        <v>5.0</v>
      </c>
      <c r="D70" s="24">
        <v>5.0</v>
      </c>
      <c r="E70" s="24">
        <v>5.0</v>
      </c>
      <c r="F70" s="24">
        <v>5.0</v>
      </c>
      <c r="G70" s="25">
        <f t="shared" si="9"/>
        <v>5</v>
      </c>
      <c r="H70" s="26">
        <f t="shared" si="10"/>
        <v>30</v>
      </c>
    </row>
    <row r="71">
      <c r="A71" s="27" t="s">
        <v>71</v>
      </c>
      <c r="B71" s="24">
        <v>4.0</v>
      </c>
      <c r="C71" s="24">
        <v>4.0</v>
      </c>
      <c r="D71" s="24">
        <v>4.0</v>
      </c>
      <c r="E71" s="24">
        <v>4.0</v>
      </c>
      <c r="F71" s="24">
        <v>4.0</v>
      </c>
      <c r="G71" s="25">
        <f t="shared" si="9"/>
        <v>4</v>
      </c>
      <c r="H71" s="26">
        <f t="shared" si="10"/>
        <v>24</v>
      </c>
    </row>
    <row r="72">
      <c r="A72" s="27" t="s">
        <v>72</v>
      </c>
      <c r="B72" s="28">
        <v>4.0</v>
      </c>
      <c r="C72" s="28">
        <v>3.0</v>
      </c>
      <c r="D72" s="28">
        <v>3.0</v>
      </c>
      <c r="E72" s="28">
        <v>4.0</v>
      </c>
      <c r="F72" s="28">
        <v>4.0</v>
      </c>
      <c r="G72" s="29">
        <f t="shared" si="9"/>
        <v>3.6</v>
      </c>
      <c r="H72" s="30">
        <f t="shared" si="10"/>
        <v>22</v>
      </c>
    </row>
    <row r="73">
      <c r="A73" s="27" t="s">
        <v>73</v>
      </c>
      <c r="B73" s="24">
        <v>5.0</v>
      </c>
      <c r="C73" s="24">
        <v>5.0</v>
      </c>
      <c r="D73" s="24">
        <v>4.0</v>
      </c>
      <c r="E73" s="24">
        <v>4.0</v>
      </c>
      <c r="F73" s="24">
        <v>5.0</v>
      </c>
      <c r="G73" s="25">
        <f t="shared" si="9"/>
        <v>4.6</v>
      </c>
      <c r="H73" s="26">
        <f t="shared" si="10"/>
        <v>28</v>
      </c>
    </row>
    <row r="76">
      <c r="A76" s="11" t="s">
        <v>78</v>
      </c>
      <c r="B76" s="12"/>
      <c r="C76" s="12"/>
      <c r="D76" s="12"/>
      <c r="E76" s="12"/>
      <c r="F76" s="13"/>
      <c r="G76" s="31"/>
      <c r="H76" s="14"/>
      <c r="I76" s="14"/>
    </row>
    <row r="77">
      <c r="A77" s="15" t="s">
        <v>55</v>
      </c>
      <c r="B77" s="15" t="s">
        <v>79</v>
      </c>
      <c r="C77" s="15" t="s">
        <v>80</v>
      </c>
      <c r="D77" s="15" t="s">
        <v>81</v>
      </c>
      <c r="E77" s="15" t="s">
        <v>82</v>
      </c>
      <c r="F77" s="15" t="s">
        <v>83</v>
      </c>
      <c r="G77" s="16" t="s">
        <v>84</v>
      </c>
      <c r="H77" s="16" t="s">
        <v>85</v>
      </c>
      <c r="I77" s="16" t="s">
        <v>86</v>
      </c>
    </row>
    <row r="78">
      <c r="A78" s="17" t="s">
        <v>63</v>
      </c>
      <c r="B78" s="18">
        <f t="shared" ref="B78:B88" si="11">H3</f>
        <v>24</v>
      </c>
      <c r="C78" s="18">
        <f t="shared" ref="C78:C88" si="12">H18</f>
        <v>28</v>
      </c>
      <c r="D78" s="18">
        <f t="shared" ref="D78:D88" si="13">H33</f>
        <v>24</v>
      </c>
      <c r="E78" s="18">
        <f t="shared" ref="E78:E88" si="14">H48</f>
        <v>25</v>
      </c>
      <c r="F78" s="18">
        <f t="shared" ref="F78:F88" si="15">H63</f>
        <v>28</v>
      </c>
      <c r="G78" s="20">
        <f t="shared" ref="G78:G88" si="16">ROUND(DIVIDE(SUM(B78,C78,D78,E78,F78),5),0)</f>
        <v>26</v>
      </c>
      <c r="H78" s="32">
        <v>1.0</v>
      </c>
      <c r="I78" s="33">
        <f t="shared" ref="I78:I88" si="17">SUM(G78,H78)</f>
        <v>27</v>
      </c>
    </row>
    <row r="79">
      <c r="A79" s="17" t="s">
        <v>64</v>
      </c>
      <c r="B79" s="18">
        <f t="shared" si="11"/>
        <v>25</v>
      </c>
      <c r="C79" s="18">
        <f t="shared" si="12"/>
        <v>25</v>
      </c>
      <c r="D79" s="18">
        <f t="shared" si="13"/>
        <v>25</v>
      </c>
      <c r="E79" s="18">
        <f t="shared" si="14"/>
        <v>26</v>
      </c>
      <c r="F79" s="18">
        <f t="shared" si="15"/>
        <v>30</v>
      </c>
      <c r="G79" s="20">
        <f t="shared" si="16"/>
        <v>26</v>
      </c>
      <c r="H79" s="32">
        <v>2.0</v>
      </c>
      <c r="I79" s="33">
        <f t="shared" si="17"/>
        <v>28</v>
      </c>
    </row>
    <row r="80">
      <c r="A80" s="21" t="s">
        <v>65</v>
      </c>
      <c r="B80" s="18">
        <f t="shared" si="11"/>
        <v>24</v>
      </c>
      <c r="C80" s="18">
        <f t="shared" si="12"/>
        <v>25</v>
      </c>
      <c r="D80" s="18">
        <f t="shared" si="13"/>
        <v>20</v>
      </c>
      <c r="E80" s="18">
        <f t="shared" si="14"/>
        <v>23</v>
      </c>
      <c r="F80" s="18">
        <f t="shared" si="15"/>
        <v>29</v>
      </c>
      <c r="G80" s="20">
        <f t="shared" si="16"/>
        <v>24</v>
      </c>
      <c r="H80" s="32">
        <v>2.0</v>
      </c>
      <c r="I80" s="33">
        <f t="shared" si="17"/>
        <v>26</v>
      </c>
      <c r="J80" s="34"/>
    </row>
    <row r="81">
      <c r="A81" s="21" t="s">
        <v>66</v>
      </c>
      <c r="B81" s="18">
        <f t="shared" si="11"/>
        <v>23</v>
      </c>
      <c r="C81" s="18">
        <f t="shared" si="12"/>
        <v>25</v>
      </c>
      <c r="D81" s="18">
        <f t="shared" si="13"/>
        <v>22</v>
      </c>
      <c r="E81" s="18">
        <f t="shared" si="14"/>
        <v>29</v>
      </c>
      <c r="F81" s="18">
        <f t="shared" si="15"/>
        <v>29</v>
      </c>
      <c r="G81" s="20">
        <f t="shared" si="16"/>
        <v>26</v>
      </c>
      <c r="H81" s="32">
        <v>2.0</v>
      </c>
      <c r="I81" s="33">
        <f t="shared" si="17"/>
        <v>28</v>
      </c>
    </row>
    <row r="82">
      <c r="A82" s="21" t="s">
        <v>67</v>
      </c>
      <c r="B82" s="18">
        <f t="shared" si="11"/>
        <v>23</v>
      </c>
      <c r="C82" s="18">
        <f t="shared" si="12"/>
        <v>28</v>
      </c>
      <c r="D82" s="18">
        <f t="shared" si="13"/>
        <v>20</v>
      </c>
      <c r="E82" s="18">
        <f t="shared" si="14"/>
        <v>23</v>
      </c>
      <c r="F82" s="18">
        <f t="shared" si="15"/>
        <v>28</v>
      </c>
      <c r="G82" s="20">
        <f t="shared" si="16"/>
        <v>24</v>
      </c>
      <c r="H82" s="32">
        <v>2.0</v>
      </c>
      <c r="I82" s="33">
        <f t="shared" si="17"/>
        <v>26</v>
      </c>
    </row>
    <row r="83">
      <c r="A83" s="21" t="s">
        <v>68</v>
      </c>
      <c r="B83" s="18">
        <f t="shared" si="11"/>
        <v>26</v>
      </c>
      <c r="C83" s="18">
        <f t="shared" si="12"/>
        <v>28</v>
      </c>
      <c r="D83" s="18">
        <f t="shared" si="13"/>
        <v>25</v>
      </c>
      <c r="E83" s="18">
        <f t="shared" si="14"/>
        <v>23</v>
      </c>
      <c r="F83" s="18">
        <f t="shared" si="15"/>
        <v>25</v>
      </c>
      <c r="G83" s="20">
        <f t="shared" si="16"/>
        <v>25</v>
      </c>
      <c r="H83" s="32">
        <v>2.0</v>
      </c>
      <c r="I83" s="33">
        <f t="shared" si="17"/>
        <v>27</v>
      </c>
    </row>
    <row r="84">
      <c r="A84" s="21" t="s">
        <v>69</v>
      </c>
      <c r="B84" s="18">
        <f t="shared" si="11"/>
        <v>23</v>
      </c>
      <c r="C84" s="18">
        <f t="shared" si="12"/>
        <v>25</v>
      </c>
      <c r="D84" s="18">
        <f t="shared" si="13"/>
        <v>20</v>
      </c>
      <c r="E84" s="18">
        <f t="shared" si="14"/>
        <v>25</v>
      </c>
      <c r="F84" s="18">
        <f t="shared" si="15"/>
        <v>25</v>
      </c>
      <c r="G84" s="20">
        <f t="shared" si="16"/>
        <v>24</v>
      </c>
      <c r="H84" s="32">
        <v>1.0</v>
      </c>
      <c r="I84" s="33">
        <f t="shared" si="17"/>
        <v>25</v>
      </c>
    </row>
    <row r="85">
      <c r="A85" s="21" t="s">
        <v>70</v>
      </c>
      <c r="B85" s="18">
        <f t="shared" si="11"/>
        <v>26</v>
      </c>
      <c r="C85" s="18">
        <f t="shared" si="12"/>
        <v>28</v>
      </c>
      <c r="D85" s="18">
        <f t="shared" si="13"/>
        <v>28</v>
      </c>
      <c r="E85" s="18">
        <f t="shared" si="14"/>
        <v>26</v>
      </c>
      <c r="F85" s="18">
        <f t="shared" si="15"/>
        <v>30</v>
      </c>
      <c r="G85" s="20">
        <f t="shared" si="16"/>
        <v>28</v>
      </c>
      <c r="H85" s="32">
        <v>2.0</v>
      </c>
      <c r="I85" s="33">
        <f t="shared" si="17"/>
        <v>30</v>
      </c>
    </row>
    <row r="86">
      <c r="A86" s="21" t="s">
        <v>71</v>
      </c>
      <c r="B86" s="18">
        <f t="shared" si="11"/>
        <v>23</v>
      </c>
      <c r="C86" s="18">
        <f t="shared" si="12"/>
        <v>25</v>
      </c>
      <c r="D86" s="18">
        <f t="shared" si="13"/>
        <v>22</v>
      </c>
      <c r="E86" s="18">
        <f t="shared" si="14"/>
        <v>26</v>
      </c>
      <c r="F86" s="18">
        <f t="shared" si="15"/>
        <v>24</v>
      </c>
      <c r="G86" s="20">
        <f t="shared" si="16"/>
        <v>24</v>
      </c>
      <c r="H86" s="32">
        <v>1.0</v>
      </c>
      <c r="I86" s="33">
        <f t="shared" si="17"/>
        <v>25</v>
      </c>
    </row>
    <row r="87">
      <c r="A87" s="21" t="s">
        <v>72</v>
      </c>
      <c r="B87" s="18">
        <f t="shared" si="11"/>
        <v>23</v>
      </c>
      <c r="C87" s="18">
        <f t="shared" si="12"/>
        <v>25</v>
      </c>
      <c r="D87" s="18">
        <f t="shared" si="13"/>
        <v>20</v>
      </c>
      <c r="E87" s="18">
        <f t="shared" si="14"/>
        <v>19</v>
      </c>
      <c r="F87" s="18">
        <f t="shared" si="15"/>
        <v>22</v>
      </c>
      <c r="G87" s="20">
        <f t="shared" si="16"/>
        <v>22</v>
      </c>
      <c r="H87" s="32">
        <v>1.0</v>
      </c>
      <c r="I87" s="33">
        <f t="shared" si="17"/>
        <v>23</v>
      </c>
    </row>
    <row r="88">
      <c r="A88" s="21" t="s">
        <v>73</v>
      </c>
      <c r="B88" s="18">
        <f t="shared" si="11"/>
        <v>26</v>
      </c>
      <c r="C88" s="18">
        <f t="shared" si="12"/>
        <v>28</v>
      </c>
      <c r="D88" s="18">
        <f t="shared" si="13"/>
        <v>26</v>
      </c>
      <c r="E88" s="18">
        <f t="shared" si="14"/>
        <v>24</v>
      </c>
      <c r="F88" s="18">
        <f t="shared" si="15"/>
        <v>28</v>
      </c>
      <c r="G88" s="20">
        <f t="shared" si="16"/>
        <v>26</v>
      </c>
      <c r="H88" s="32">
        <v>2.0</v>
      </c>
      <c r="I88" s="33">
        <f t="shared" si="17"/>
        <v>28</v>
      </c>
    </row>
    <row r="91">
      <c r="D91" s="35"/>
    </row>
  </sheetData>
  <mergeCells count="6">
    <mergeCell ref="A1:G1"/>
    <mergeCell ref="A16:G16"/>
    <mergeCell ref="A31:G31"/>
    <mergeCell ref="A46:G46"/>
    <mergeCell ref="A61:G61"/>
    <mergeCell ref="A76:F76"/>
  </mergeCells>
  <drawing r:id="rId1"/>
</worksheet>
</file>